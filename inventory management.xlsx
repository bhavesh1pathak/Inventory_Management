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tables/table4.xml" ContentType="application/vnd.openxmlformats-officedocument.spreadsheetml.table+xml"/>
  <Override PartName="/xl/drawings/drawing7.xml" ContentType="application/vnd.openxmlformats-officedocument.drawing+xml"/>
  <Override PartName="/xl/tables/table5.xml" ContentType="application/vnd.openxmlformats-officedocument.spreadsheetml.table+xml"/>
  <Override PartName="/xl/drawings/drawing8.xml" ContentType="application/vnd.openxmlformats-officedocument.drawing+xml"/>
  <Override PartName="/xl/tables/table6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Bhavesh\Downloads\"/>
    </mc:Choice>
  </mc:AlternateContent>
  <xr:revisionPtr revIDLastSave="0" documentId="13_ncr:1_{368D21B6-52A5-42B9-ADC6-752A90CD0F36}" xr6:coauthVersionLast="47" xr6:coauthVersionMax="47" xr10:uidLastSave="{00000000-0000-0000-0000-000000000000}"/>
  <bookViews>
    <workbookView xWindow="-110" yWindow="-110" windowWidth="19420" windowHeight="10300" activeTab="7" xr2:uid="{00F52918-0905-47CD-83B7-BC60D7A5AA19}"/>
  </bookViews>
  <sheets>
    <sheet name="Dashboard" sheetId="1" r:id="rId1"/>
    <sheet name="Customer" sheetId="2" r:id="rId2"/>
    <sheet name="Products" sheetId="3" r:id="rId3"/>
    <sheet name="Vendors" sheetId="5" r:id="rId4"/>
    <sheet name="New Entry" sheetId="4" r:id="rId5"/>
    <sheet name="Purchase" sheetId="6" r:id="rId6"/>
    <sheet name="Sales" sheetId="7" r:id="rId7"/>
    <sheet name="Inventory" sheetId="8" r:id="rId8"/>
    <sheet name="Pivotes" sheetId="9" r:id="rId9"/>
  </sheets>
  <definedNames>
    <definedName name="CUSTOMERID">Table1[CUST_ID]</definedName>
    <definedName name="customers_data">Table1[]</definedName>
    <definedName name="HSNCODE">Products_data[HSN CODE]</definedName>
    <definedName name="hsncode1">Products_data[HSN CODE]</definedName>
  </definedNames>
  <calcPr calcId="191029"/>
  <pivotCaches>
    <pivotCache cacheId="3" r:id="rId10"/>
    <pivotCache cacheId="7" r:id="rId11"/>
    <pivotCache cacheId="10" r:id="rId12"/>
    <pivotCache cacheId="20" r:id="rId13"/>
    <pivotCache cacheId="21" r:id="rId1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5" i="8" l="1"/>
  <c r="K26" i="8"/>
  <c r="K27" i="8"/>
  <c r="K28" i="8"/>
  <c r="K29" i="8"/>
  <c r="K30" i="8"/>
  <c r="C19" i="9"/>
  <c r="C18" i="9"/>
  <c r="I22" i="7"/>
  <c r="E21" i="7"/>
  <c r="E22" i="7"/>
  <c r="G21" i="7"/>
  <c r="G22" i="7"/>
  <c r="K21" i="7"/>
  <c r="K22" i="7"/>
  <c r="L22" i="7" s="1"/>
  <c r="L21" i="7"/>
  <c r="E28" i="6"/>
  <c r="E29" i="6"/>
  <c r="F28" i="6"/>
  <c r="F29" i="6"/>
  <c r="I28" i="6"/>
  <c r="J28" i="6" s="1"/>
  <c r="I29" i="6"/>
  <c r="J29" i="6" s="1"/>
  <c r="E27" i="6"/>
  <c r="F27" i="6"/>
  <c r="I27" i="6"/>
  <c r="J27" i="6" s="1"/>
  <c r="E26" i="6"/>
  <c r="F26" i="6"/>
  <c r="I26" i="6"/>
  <c r="J26" i="6"/>
  <c r="E25" i="6"/>
  <c r="F25" i="6"/>
  <c r="I25" i="6"/>
  <c r="J25" i="6" s="1"/>
  <c r="E24" i="6"/>
  <c r="F24" i="6"/>
  <c r="I24" i="6"/>
  <c r="J24" i="6"/>
  <c r="E23" i="6"/>
  <c r="F23" i="6"/>
  <c r="I23" i="6"/>
  <c r="J23" i="6" s="1"/>
  <c r="E22" i="6"/>
  <c r="F22" i="6"/>
  <c r="I22" i="6"/>
  <c r="J22" i="6" s="1"/>
  <c r="D10" i="8"/>
  <c r="E10" i="8"/>
  <c r="F10" i="8"/>
  <c r="D11" i="8"/>
  <c r="E11" i="8"/>
  <c r="F11" i="8"/>
  <c r="D12" i="8"/>
  <c r="E12" i="8"/>
  <c r="F12" i="8"/>
  <c r="D13" i="8"/>
  <c r="E13" i="8"/>
  <c r="F13" i="8"/>
  <c r="D14" i="8"/>
  <c r="E14" i="8"/>
  <c r="F14" i="8"/>
  <c r="D15" i="8"/>
  <c r="E15" i="8"/>
  <c r="F15" i="8"/>
  <c r="D16" i="8"/>
  <c r="E16" i="8"/>
  <c r="F16" i="8"/>
  <c r="D17" i="8"/>
  <c r="E17" i="8"/>
  <c r="F17" i="8"/>
  <c r="D18" i="8"/>
  <c r="E18" i="8"/>
  <c r="F18" i="8"/>
  <c r="D19" i="8"/>
  <c r="E19" i="8"/>
  <c r="F19" i="8"/>
  <c r="D20" i="8"/>
  <c r="E20" i="8"/>
  <c r="F20" i="8"/>
  <c r="D21" i="8"/>
  <c r="E21" i="8"/>
  <c r="F21" i="8"/>
  <c r="D22" i="8"/>
  <c r="E22" i="8"/>
  <c r="F22" i="8"/>
  <c r="D23" i="8"/>
  <c r="E23" i="8"/>
  <c r="F23" i="8"/>
  <c r="D24" i="8"/>
  <c r="E24" i="8"/>
  <c r="F24" i="8"/>
  <c r="D26" i="8"/>
  <c r="E26" i="8"/>
  <c r="F26" i="8"/>
  <c r="D27" i="8"/>
  <c r="E27" i="8"/>
  <c r="F27" i="8"/>
  <c r="D28" i="8"/>
  <c r="E28" i="8"/>
  <c r="F28" i="8"/>
  <c r="D29" i="8"/>
  <c r="E29" i="8"/>
  <c r="F29" i="8"/>
  <c r="D30" i="8"/>
  <c r="E30" i="8"/>
  <c r="F30" i="8"/>
  <c r="E9" i="8"/>
  <c r="F9" i="8"/>
  <c r="D9" i="8"/>
  <c r="K9" i="7"/>
  <c r="L9" i="7" s="1"/>
  <c r="K10" i="7"/>
  <c r="L10" i="7" s="1"/>
  <c r="K11" i="7"/>
  <c r="L11" i="7" s="1"/>
  <c r="K12" i="7"/>
  <c r="L12" i="7" s="1"/>
  <c r="K13" i="7"/>
  <c r="L13" i="7" s="1"/>
  <c r="K14" i="7"/>
  <c r="L14" i="7" s="1"/>
  <c r="K15" i="7"/>
  <c r="L15" i="7" s="1"/>
  <c r="K16" i="7"/>
  <c r="L16" i="7" s="1"/>
  <c r="K17" i="7"/>
  <c r="L17" i="7" s="1"/>
  <c r="K18" i="7"/>
  <c r="L18" i="7" s="1"/>
  <c r="K19" i="7"/>
  <c r="L19" i="7" s="1"/>
  <c r="K20" i="7"/>
  <c r="L20" i="7" s="1"/>
  <c r="G9" i="7"/>
  <c r="H11" i="8" s="1"/>
  <c r="G10" i="7"/>
  <c r="G11" i="7"/>
  <c r="G12" i="7"/>
  <c r="G13" i="7"/>
  <c r="G14" i="7"/>
  <c r="G15" i="7"/>
  <c r="G16" i="7"/>
  <c r="H18" i="8" s="1"/>
  <c r="G17" i="7"/>
  <c r="G18" i="7"/>
  <c r="G19" i="7"/>
  <c r="G20" i="7"/>
  <c r="E9" i="7"/>
  <c r="E10" i="7"/>
  <c r="E11" i="7"/>
  <c r="E12" i="7"/>
  <c r="E13" i="7"/>
  <c r="E14" i="7"/>
  <c r="E15" i="7"/>
  <c r="E16" i="7"/>
  <c r="E17" i="7"/>
  <c r="E18" i="7"/>
  <c r="E19" i="7"/>
  <c r="E20" i="7"/>
  <c r="E17" i="6"/>
  <c r="F21" i="6"/>
  <c r="F18" i="6"/>
  <c r="F19" i="6"/>
  <c r="F20" i="6"/>
  <c r="E18" i="6"/>
  <c r="E19" i="6"/>
  <c r="E20" i="6"/>
  <c r="E21" i="6"/>
  <c r="E10" i="6"/>
  <c r="E11" i="6"/>
  <c r="E12" i="6"/>
  <c r="E13" i="6"/>
  <c r="E14" i="6"/>
  <c r="E15" i="6"/>
  <c r="E16" i="6"/>
  <c r="F10" i="6"/>
  <c r="F11" i="6"/>
  <c r="F12" i="6"/>
  <c r="F13" i="6"/>
  <c r="F14" i="6"/>
  <c r="F15" i="6"/>
  <c r="F16" i="6"/>
  <c r="F17" i="6"/>
  <c r="I10" i="6"/>
  <c r="J10" i="6" s="1"/>
  <c r="I11" i="6"/>
  <c r="J11" i="6" s="1"/>
  <c r="I12" i="6"/>
  <c r="J12" i="6" s="1"/>
  <c r="I13" i="6"/>
  <c r="J13" i="6" s="1"/>
  <c r="I14" i="6"/>
  <c r="J14" i="6" s="1"/>
  <c r="I15" i="6"/>
  <c r="J15" i="6" s="1"/>
  <c r="I16" i="6"/>
  <c r="J16" i="6" s="1"/>
  <c r="I17" i="6"/>
  <c r="J17" i="6" s="1"/>
  <c r="I18" i="6"/>
  <c r="J18" i="6" s="1"/>
  <c r="I19" i="6"/>
  <c r="J19" i="6" s="1"/>
  <c r="I20" i="6"/>
  <c r="J20" i="6" s="1"/>
  <c r="I21" i="6"/>
  <c r="J21" i="6" s="1"/>
  <c r="C15" i="9"/>
  <c r="C12" i="9"/>
  <c r="C9" i="9"/>
  <c r="C6" i="9"/>
  <c r="C3" i="9"/>
  <c r="H16" i="8" l="1"/>
  <c r="H10" i="8"/>
  <c r="H17" i="8"/>
  <c r="H9" i="8"/>
  <c r="H23" i="8"/>
  <c r="H15" i="8"/>
  <c r="H22" i="8"/>
  <c r="H14" i="8"/>
  <c r="H24" i="8"/>
  <c r="H21" i="8"/>
  <c r="H13" i="8"/>
  <c r="H20" i="8"/>
  <c r="H12" i="8"/>
  <c r="H19" i="8"/>
  <c r="G18" i="8"/>
  <c r="I18" i="8" s="1"/>
  <c r="K18" i="8" s="1"/>
  <c r="Q18" i="1" s="1"/>
  <c r="G13" i="8"/>
  <c r="G20" i="8"/>
  <c r="G11" i="8"/>
  <c r="I11" i="8" s="1"/>
  <c r="K11" i="8" s="1"/>
  <c r="G17" i="8"/>
  <c r="G9" i="8"/>
  <c r="G24" i="8"/>
  <c r="G16" i="8"/>
  <c r="G23" i="8"/>
  <c r="G15" i="8"/>
  <c r="G12" i="8"/>
  <c r="G19" i="8"/>
  <c r="G14" i="8"/>
  <c r="G10" i="8"/>
  <c r="G22" i="8"/>
  <c r="G21" i="8"/>
  <c r="I16" i="8" l="1"/>
  <c r="K16" i="8" s="1"/>
  <c r="Q16" i="1" s="1"/>
  <c r="I23" i="8"/>
  <c r="K23" i="8" s="1"/>
  <c r="Q23" i="1" s="1"/>
  <c r="I24" i="8"/>
  <c r="K24" i="8" s="1"/>
  <c r="Q24" i="1" s="1"/>
  <c r="J18" i="8"/>
  <c r="I20" i="8"/>
  <c r="I17" i="8"/>
  <c r="K17" i="8" s="1"/>
  <c r="Q17" i="1" s="1"/>
  <c r="I21" i="8"/>
  <c r="K21" i="8" s="1"/>
  <c r="Q21" i="1" s="1"/>
  <c r="I19" i="8"/>
  <c r="K19" i="8" s="1"/>
  <c r="Q19" i="1" s="1"/>
  <c r="I16" i="7"/>
  <c r="I10" i="7"/>
  <c r="J23" i="8"/>
  <c r="I21" i="7"/>
  <c r="I9" i="8"/>
  <c r="K9" i="8" s="1"/>
  <c r="I22" i="8"/>
  <c r="K22" i="8" s="1"/>
  <c r="Q22" i="1" s="1"/>
  <c r="I15" i="8"/>
  <c r="K15" i="8" s="1"/>
  <c r="I13" i="8"/>
  <c r="K13" i="8" s="1"/>
  <c r="I10" i="8"/>
  <c r="K10" i="8" s="1"/>
  <c r="I14" i="8"/>
  <c r="K14" i="8" s="1"/>
  <c r="I12" i="8"/>
  <c r="K12" i="8" s="1"/>
  <c r="J11" i="8"/>
  <c r="J20" i="8" l="1"/>
  <c r="K20" i="8"/>
  <c r="Q20" i="1" s="1"/>
  <c r="J15" i="8"/>
  <c r="J14" i="8"/>
  <c r="I19" i="7"/>
  <c r="J10" i="8"/>
  <c r="J16" i="8"/>
  <c r="J13" i="8"/>
  <c r="I18" i="7"/>
  <c r="J22" i="8"/>
  <c r="J21" i="8"/>
  <c r="J17" i="8"/>
  <c r="J24" i="8"/>
  <c r="I9" i="7"/>
  <c r="I20" i="7"/>
  <c r="J9" i="8"/>
  <c r="I17" i="7"/>
  <c r="I15" i="7"/>
  <c r="J19" i="8"/>
  <c r="I14" i="7"/>
  <c r="I12" i="7"/>
  <c r="I13" i="7"/>
  <c r="I11" i="7"/>
  <c r="J12" i="8"/>
</calcChain>
</file>

<file path=xl/sharedStrings.xml><?xml version="1.0" encoding="utf-8"?>
<sst xmlns="http://schemas.openxmlformats.org/spreadsheetml/2006/main" count="249" uniqueCount="121">
  <si>
    <t>CUST_ID</t>
  </si>
  <si>
    <t>NAME</t>
  </si>
  <si>
    <t>EMAIL</t>
  </si>
  <si>
    <t>ADDRESS</t>
  </si>
  <si>
    <t>Ram Sales</t>
  </si>
  <si>
    <t>Atul Ltd.</t>
  </si>
  <si>
    <t>MK Tech</t>
  </si>
  <si>
    <t>99Store</t>
  </si>
  <si>
    <t>Rajesh Kumar</t>
  </si>
  <si>
    <t>Amit</t>
  </si>
  <si>
    <t>Jain Tel.</t>
  </si>
  <si>
    <t>ram@gmail.com</t>
  </si>
  <si>
    <t>atul@gmail.com</t>
  </si>
  <si>
    <t>mk@gmail.com</t>
  </si>
  <si>
    <t>99store@gmail.com</t>
  </si>
  <si>
    <t>rajesh@gmail.com</t>
  </si>
  <si>
    <t>amit@gmail.com</t>
  </si>
  <si>
    <t>jain@gmail.com</t>
  </si>
  <si>
    <t>Delhi, india</t>
  </si>
  <si>
    <t>122112,Palwal,HR</t>
  </si>
  <si>
    <t>Faridabad,121101</t>
  </si>
  <si>
    <t>Agra,UP</t>
  </si>
  <si>
    <t>New Delhi,110011</t>
  </si>
  <si>
    <t>Gurgaon, Sec-15</t>
  </si>
  <si>
    <t>Janpath, New Delhi</t>
  </si>
  <si>
    <t>HSN CODE</t>
  </si>
  <si>
    <t xml:space="preserve">PRODUCT NAME </t>
  </si>
  <si>
    <t>COST</t>
  </si>
  <si>
    <t>SELLING PRICE</t>
  </si>
  <si>
    <t>N1001</t>
  </si>
  <si>
    <t>N1002</t>
  </si>
  <si>
    <t>N1003</t>
  </si>
  <si>
    <t>N1004</t>
  </si>
  <si>
    <t>N1005</t>
  </si>
  <si>
    <t>N1006</t>
  </si>
  <si>
    <t>N1007</t>
  </si>
  <si>
    <t>N1008</t>
  </si>
  <si>
    <t>N1009</t>
  </si>
  <si>
    <t>N1010</t>
  </si>
  <si>
    <t>N1011</t>
  </si>
  <si>
    <t>N1012</t>
  </si>
  <si>
    <t>N1013</t>
  </si>
  <si>
    <t>N1014</t>
  </si>
  <si>
    <t>Smart Watch</t>
  </si>
  <si>
    <t>Laptop HP xyz</t>
  </si>
  <si>
    <t>Wireless Printer</t>
  </si>
  <si>
    <t xml:space="preserve">Desktop </t>
  </si>
  <si>
    <t>Mouse</t>
  </si>
  <si>
    <t>RGB Keyboard</t>
  </si>
  <si>
    <t>Camera</t>
  </si>
  <si>
    <t>Headphone</t>
  </si>
  <si>
    <t>Speakers</t>
  </si>
  <si>
    <t>Tablets</t>
  </si>
  <si>
    <t>A C</t>
  </si>
  <si>
    <t xml:space="preserve">Fridge </t>
  </si>
  <si>
    <t>T V</t>
  </si>
  <si>
    <t xml:space="preserve">CCTV </t>
  </si>
  <si>
    <t>Vendor Name</t>
  </si>
  <si>
    <t>Phone</t>
  </si>
  <si>
    <t>Address</t>
  </si>
  <si>
    <t>Tech99</t>
  </si>
  <si>
    <t>GG Traders</t>
  </si>
  <si>
    <t>Compac</t>
  </si>
  <si>
    <t>Bhavesh Ltd</t>
  </si>
  <si>
    <t>9812XXXXXX</t>
  </si>
  <si>
    <t>Faridabad, 121101</t>
  </si>
  <si>
    <t>Faridabad, 121102</t>
  </si>
  <si>
    <t>Faridabad, 121103</t>
  </si>
  <si>
    <t>Parul Park, Vadodara</t>
  </si>
  <si>
    <t>Laxmi Pura, Vadodara</t>
  </si>
  <si>
    <t>Karodiya, Vadodara</t>
  </si>
  <si>
    <t>ITI , Vadodara</t>
  </si>
  <si>
    <t>Gurgaon, Sec 14</t>
  </si>
  <si>
    <t>Gurgaon, Sec 15</t>
  </si>
  <si>
    <t>Gurgaon, Sec 16</t>
  </si>
  <si>
    <t>Gurgaon, Sec 17</t>
  </si>
  <si>
    <t>New Delhi, 110012</t>
  </si>
  <si>
    <t>New Delhi, 110013</t>
  </si>
  <si>
    <t>New Delhi, 110014</t>
  </si>
  <si>
    <t>Purchase Entry</t>
  </si>
  <si>
    <t>Sales Entry</t>
  </si>
  <si>
    <t xml:space="preserve">HSN Code </t>
  </si>
  <si>
    <t>Product Name</t>
  </si>
  <si>
    <t>Vendor</t>
  </si>
  <si>
    <t>Date</t>
  </si>
  <si>
    <t>Units</t>
  </si>
  <si>
    <t>Cost</t>
  </si>
  <si>
    <t>Amount</t>
  </si>
  <si>
    <t>N1015</t>
  </si>
  <si>
    <t>N1016</t>
  </si>
  <si>
    <t>CYCLE</t>
  </si>
  <si>
    <t>Cust_ID</t>
  </si>
  <si>
    <t>Cust_Name</t>
  </si>
  <si>
    <t>HSN Code</t>
  </si>
  <si>
    <t>Stock(Units)</t>
  </si>
  <si>
    <t>Price</t>
  </si>
  <si>
    <t>Chandan ERP</t>
  </si>
  <si>
    <t>chan@gmail.com</t>
  </si>
  <si>
    <t>Patna, Bihar</t>
  </si>
  <si>
    <t>P Units</t>
  </si>
  <si>
    <t>S Units</t>
  </si>
  <si>
    <t>Stock</t>
  </si>
  <si>
    <t>Stock Amount</t>
  </si>
  <si>
    <t>Bike</t>
  </si>
  <si>
    <t>Row Labels</t>
  </si>
  <si>
    <t>Grand Total</t>
  </si>
  <si>
    <t>Count of NAME</t>
  </si>
  <si>
    <t>customers</t>
  </si>
  <si>
    <t xml:space="preserve">Count of PRODUCT NAME </t>
  </si>
  <si>
    <t>products</t>
  </si>
  <si>
    <t>Sum of Amount</t>
  </si>
  <si>
    <t>sum of purchase amount</t>
  </si>
  <si>
    <t>sales amount</t>
  </si>
  <si>
    <t>Sum of Stock Amount</t>
  </si>
  <si>
    <t>stock amount</t>
  </si>
  <si>
    <t>profit and loss</t>
  </si>
  <si>
    <t>profit</t>
  </si>
  <si>
    <t>Sum of S Units</t>
  </si>
  <si>
    <t>Notifications !</t>
  </si>
  <si>
    <t>Notification</t>
  </si>
  <si>
    <t>Sum of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</si>
</sst>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8" formatCode="[$₹-439]#,##0.00"/>
  </numFmts>
  <fonts count="9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u/>
      <sz val="15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1">
    <xf numFmtId="0" fontId="0" fillId="0" borderId="0" xfId="0"/>
    <xf numFmtId="0" fontId="0" fillId="2" borderId="0" xfId="0" applyFill="1"/>
    <xf numFmtId="0" fontId="0" fillId="3" borderId="0" xfId="0" applyFill="1"/>
    <xf numFmtId="0" fontId="2" fillId="2" borderId="0" xfId="0" applyFont="1" applyFill="1"/>
    <xf numFmtId="0" fontId="4" fillId="2" borderId="0" xfId="0" applyFont="1" applyFill="1"/>
    <xf numFmtId="0" fontId="5" fillId="2" borderId="0" xfId="1" applyFont="1" applyFill="1"/>
    <xf numFmtId="0" fontId="4" fillId="2" borderId="0" xfId="0" applyFont="1" applyFill="1" applyAlignment="1">
      <alignment horizontal="left"/>
    </xf>
    <xf numFmtId="0" fontId="3" fillId="2" borderId="1" xfId="0" applyFont="1" applyFill="1" applyBorder="1"/>
    <xf numFmtId="0" fontId="0" fillId="2" borderId="0" xfId="0" applyFill="1" applyAlignment="1">
      <alignment horizontal="left"/>
    </xf>
    <xf numFmtId="0" fontId="1" fillId="2" borderId="0" xfId="1" applyFill="1"/>
    <xf numFmtId="164" fontId="0" fillId="2" borderId="0" xfId="0" applyNumberFormat="1" applyFill="1"/>
    <xf numFmtId="0" fontId="0" fillId="2" borderId="0" xfId="0" applyFont="1" applyFill="1"/>
    <xf numFmtId="0" fontId="0" fillId="2" borderId="0" xfId="0" applyNumberForma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8" fontId="0" fillId="0" borderId="0" xfId="0" applyNumberFormat="1"/>
    <xf numFmtId="0" fontId="0" fillId="4" borderId="0" xfId="0" applyFill="1"/>
    <xf numFmtId="0" fontId="8" fillId="4" borderId="0" xfId="0" applyFont="1" applyFill="1"/>
    <xf numFmtId="0" fontId="0" fillId="2" borderId="0" xfId="0" applyNumberFormat="1" applyFill="1" applyAlignment="1">
      <alignment horizontal="left"/>
    </xf>
    <xf numFmtId="0" fontId="7" fillId="3" borderId="0" xfId="0" applyFont="1" applyFill="1"/>
  </cellXfs>
  <cellStyles count="2">
    <cellStyle name="Hyperlink" xfId="1" builtinId="8"/>
    <cellStyle name="Normal" xfId="0" builtinId="0"/>
  </cellStyles>
  <dxfs count="49">
    <dxf>
      <numFmt numFmtId="0" formatCode="General"/>
      <fill>
        <patternFill patternType="solid">
          <fgColor indexed="64"/>
          <bgColor theme="2" tint="-0.249977111117893"/>
        </patternFill>
      </fill>
      <alignment horizontal="left" vertical="bottom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2" tint="-0.249977111117893"/>
        </patternFill>
      </fill>
    </dxf>
    <dxf>
      <numFmt numFmtId="0" formatCode="General"/>
      <fill>
        <patternFill patternType="solid">
          <fgColor indexed="64"/>
          <bgColor theme="2" tint="-0.249977111117893"/>
        </patternFill>
      </fill>
    </dxf>
    <dxf>
      <numFmt numFmtId="0" formatCode="General"/>
      <fill>
        <patternFill patternType="solid">
          <fgColor indexed="64"/>
          <bgColor theme="2" tint="-0.249977111117893"/>
        </patternFill>
      </fill>
    </dxf>
    <dxf>
      <numFmt numFmtId="0" formatCode="General"/>
      <fill>
        <patternFill patternType="solid">
          <fgColor indexed="64"/>
          <bgColor theme="2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</dxf>
    <dxf>
      <fill>
        <patternFill patternType="solid">
          <fgColor indexed="64"/>
          <bgColor theme="2" tint="-0.249977111117893"/>
        </patternFill>
      </fill>
    </dxf>
    <dxf>
      <fill>
        <patternFill patternType="solid">
          <fgColor indexed="64"/>
          <bgColor theme="2" tint="-0.249977111117893"/>
        </patternFill>
      </fill>
    </dxf>
    <dxf>
      <numFmt numFmtId="0" formatCode="General"/>
      <fill>
        <patternFill patternType="solid">
          <fgColor indexed="64"/>
          <bgColor theme="2" tint="-0.249977111117893"/>
        </patternFill>
      </fill>
    </dxf>
    <dxf>
      <numFmt numFmtId="0" formatCode="General"/>
      <fill>
        <patternFill patternType="solid">
          <fgColor indexed="64"/>
          <bgColor theme="2" tint="-0.249977111117893"/>
        </patternFill>
      </fill>
    </dxf>
    <dxf>
      <numFmt numFmtId="0" formatCode="General"/>
      <fill>
        <patternFill patternType="solid">
          <fgColor indexed="64"/>
          <bgColor theme="2" tint="-0.249977111117893"/>
        </patternFill>
      </fill>
    </dxf>
    <dxf>
      <fill>
        <patternFill patternType="solid">
          <fgColor indexed="64"/>
          <bgColor theme="2" tint="-0.249977111117893"/>
        </patternFill>
      </fill>
    </dxf>
    <dxf>
      <numFmt numFmtId="164" formatCode="dd\-mm\-yyyy"/>
      <fill>
        <patternFill patternType="solid">
          <fgColor indexed="64"/>
          <bgColor theme="2" tint="-0.249977111117893"/>
        </patternFill>
      </fill>
    </dxf>
    <dxf>
      <numFmt numFmtId="0" formatCode="General"/>
      <fill>
        <patternFill patternType="solid">
          <fgColor indexed="64"/>
          <bgColor theme="2" tint="-0.249977111117893"/>
        </patternFill>
      </fill>
    </dxf>
    <dxf>
      <numFmt numFmtId="0" formatCode="General"/>
      <fill>
        <patternFill patternType="solid">
          <fgColor indexed="64"/>
          <bgColor theme="2" tint="-0.249977111117893"/>
        </patternFill>
      </fill>
    </dxf>
    <dxf>
      <fill>
        <patternFill patternType="solid">
          <fgColor indexed="64"/>
          <bgColor theme="2" tint="-0.249977111117893"/>
        </patternFill>
      </fill>
    </dxf>
    <dxf>
      <fill>
        <patternFill patternType="solid">
          <fgColor indexed="64"/>
          <bgColor theme="2" tint="-0.249977111117893"/>
        </patternFill>
      </fill>
    </dxf>
    <dxf>
      <fill>
        <patternFill patternType="solid">
          <fgColor indexed="64"/>
          <bgColor theme="2" tint="-0.249977111117893"/>
        </patternFill>
      </fill>
    </dxf>
    <dxf>
      <fill>
        <patternFill patternType="solid">
          <fgColor indexed="64"/>
          <bgColor theme="2" tint="-0.249977111117893"/>
        </patternFill>
      </fill>
      <alignment horizontal="left" vertical="bottom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2" tint="-0.249977111117893"/>
        </patternFill>
      </fill>
    </dxf>
    <dxf>
      <numFmt numFmtId="0" formatCode="General"/>
      <fill>
        <patternFill patternType="solid">
          <fgColor indexed="64"/>
          <bgColor theme="2" tint="-0.249977111117893"/>
        </patternFill>
      </fill>
    </dxf>
    <dxf>
      <numFmt numFmtId="0" formatCode="General"/>
      <fill>
        <patternFill patternType="solid">
          <fgColor indexed="64"/>
          <bgColor theme="2" tint="-0.249977111117893"/>
        </patternFill>
      </fill>
    </dxf>
    <dxf>
      <numFmt numFmtId="0" formatCode="General"/>
      <fill>
        <patternFill patternType="solid">
          <fgColor indexed="64"/>
          <bgColor theme="2" tint="-0.249977111117893"/>
        </patternFill>
      </fill>
    </dxf>
    <dxf>
      <fill>
        <patternFill patternType="solid">
          <fgColor indexed="64"/>
          <bgColor theme="2" tint="-0.249977111117893"/>
        </patternFill>
      </fill>
    </dxf>
    <dxf>
      <fill>
        <patternFill patternType="solid">
          <fgColor indexed="64"/>
          <bgColor theme="2" tint="-0.249977111117893"/>
        </patternFill>
      </fill>
    </dxf>
    <dxf>
      <fill>
        <patternFill patternType="solid">
          <fgColor indexed="64"/>
          <bgColor theme="2" tint="-0.249977111117893"/>
        </patternFill>
      </fill>
    </dxf>
    <dxf>
      <fill>
        <patternFill patternType="solid">
          <fgColor indexed="64"/>
          <bgColor theme="2" tint="-0.249977111117893"/>
        </patternFill>
      </fill>
    </dxf>
    <dxf>
      <fill>
        <patternFill patternType="solid">
          <fgColor indexed="64"/>
          <bgColor theme="2" tint="-0.249977111117893"/>
        </patternFill>
      </fill>
    </dxf>
    <dxf>
      <fill>
        <patternFill patternType="solid">
          <fgColor indexed="64"/>
          <bgColor theme="2" tint="-0.249977111117893"/>
        </patternFill>
      </fill>
    </dxf>
    <dxf>
      <fill>
        <patternFill patternType="solid">
          <fgColor indexed="64"/>
          <bgColor theme="2" tint="-0.249977111117893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2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</dxf>
    <dxf>
      <fill>
        <patternFill patternType="solid">
          <fgColor indexed="64"/>
          <bgColor theme="2" tint="-0.249977111117893"/>
        </patternFill>
      </fill>
    </dxf>
    <dxf>
      <fill>
        <patternFill patternType="solid">
          <fgColor indexed="64"/>
          <bgColor theme="2" tint="-0.249977111117893"/>
        </patternFill>
      </fill>
    </dxf>
    <dxf>
      <fill>
        <patternFill patternType="solid">
          <fgColor indexed="64"/>
          <bgColor theme="2" tint="-0.249977111117893"/>
        </patternFill>
      </fill>
    </dxf>
    <dxf>
      <fill>
        <patternFill patternType="solid">
          <fgColor indexed="64"/>
          <bgColor theme="2" tint="-0.249977111117893"/>
        </patternFill>
      </fill>
    </dxf>
    <dxf>
      <fill>
        <patternFill patternType="solid">
          <fgColor indexed="64"/>
          <bgColor theme="2" tint="-0.249977111117893"/>
        </patternFill>
      </fill>
    </dxf>
    <dxf>
      <fill>
        <patternFill patternType="solid">
          <fgColor indexed="64"/>
          <bgColor theme="2" tint="-0.249977111117893"/>
        </patternFill>
      </fill>
    </dxf>
    <dxf>
      <fill>
        <patternFill patternType="solid">
          <fgColor indexed="64"/>
          <bgColor theme="2" tint="-0.249977111117893"/>
        </patternFill>
      </fill>
    </dxf>
    <dxf>
      <fill>
        <patternFill patternType="solid">
          <fgColor indexed="64"/>
          <bgColor theme="2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/>
        <vertAlign val="baseline"/>
        <sz val="15"/>
        <color theme="10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5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 management.xlsx]Pivotes!PivotTable6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Pivotes!$G$2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Pivotes!$F$3:$F$8</c:f>
              <c:strCache>
                <c:ptCount val="5"/>
                <c:pt idx="0">
                  <c:v>Bike</c:v>
                </c:pt>
                <c:pt idx="1">
                  <c:v>Smart Watch</c:v>
                </c:pt>
                <c:pt idx="2">
                  <c:v>Wireless Printer</c:v>
                </c:pt>
                <c:pt idx="3">
                  <c:v>Camera</c:v>
                </c:pt>
                <c:pt idx="4">
                  <c:v>Fridge </c:v>
                </c:pt>
              </c:strCache>
            </c:strRef>
          </c:cat>
          <c:val>
            <c:numRef>
              <c:f>Pivotes!$G$3:$G$8</c:f>
              <c:numCache>
                <c:formatCode>General</c:formatCode>
                <c:ptCount val="5"/>
                <c:pt idx="0">
                  <c:v>20</c:v>
                </c:pt>
                <c:pt idx="1">
                  <c:v>10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0A-4266-8AAC-C6CB05EE05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96523784"/>
        <c:axId val="596528104"/>
        <c:axId val="0"/>
      </c:bar3DChart>
      <c:catAx>
        <c:axId val="5965237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528104"/>
        <c:crosses val="autoZero"/>
        <c:auto val="1"/>
        <c:lblAlgn val="ctr"/>
        <c:lblOffset val="100"/>
        <c:noMultiLvlLbl val="0"/>
      </c:catAx>
      <c:valAx>
        <c:axId val="596528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523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 management.xlsx]Pivotes!PivotTable7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5 Customers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Pivotes!$G$10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Pivotes!$F$11:$F$16</c:f>
              <c:strCache>
                <c:ptCount val="5"/>
                <c:pt idx="0">
                  <c:v>MK Tech</c:v>
                </c:pt>
                <c:pt idx="1">
                  <c:v>Ram Sales</c:v>
                </c:pt>
                <c:pt idx="2">
                  <c:v>Jain Tel.</c:v>
                </c:pt>
                <c:pt idx="3">
                  <c:v>Amit</c:v>
                </c:pt>
                <c:pt idx="4">
                  <c:v>Rajesh Kumar</c:v>
                </c:pt>
              </c:strCache>
            </c:strRef>
          </c:cat>
          <c:val>
            <c:numRef>
              <c:f>Pivotes!$G$11:$G$16</c:f>
              <c:numCache>
                <c:formatCode>General</c:formatCode>
                <c:ptCount val="5"/>
                <c:pt idx="0">
                  <c:v>2079994</c:v>
                </c:pt>
                <c:pt idx="1">
                  <c:v>251600</c:v>
                </c:pt>
                <c:pt idx="2">
                  <c:v>124800</c:v>
                </c:pt>
                <c:pt idx="3">
                  <c:v>84408</c:v>
                </c:pt>
                <c:pt idx="4">
                  <c:v>50400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E8-46AB-BB13-4931876614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59425240"/>
        <c:axId val="659423080"/>
        <c:axId val="0"/>
      </c:bar3DChart>
      <c:catAx>
        <c:axId val="6594252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9423080"/>
        <c:crosses val="autoZero"/>
        <c:auto val="1"/>
        <c:lblAlgn val="ctr"/>
        <c:lblOffset val="100"/>
        <c:noMultiLvlLbl val="0"/>
      </c:catAx>
      <c:valAx>
        <c:axId val="659423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9425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 management.xlsx]Pivotes!PivotTable8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Stock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Pivotes!$J$2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Pivotes!$I$3:$I$19</c:f>
              <c:strCache>
                <c:ptCount val="16"/>
                <c:pt idx="0">
                  <c:v>A C</c:v>
                </c:pt>
                <c:pt idx="1">
                  <c:v>Bike</c:v>
                </c:pt>
                <c:pt idx="2">
                  <c:v>Camera</c:v>
                </c:pt>
                <c:pt idx="3">
                  <c:v>CCTV </c:v>
                </c:pt>
                <c:pt idx="4">
                  <c:v>CYCLE</c:v>
                </c:pt>
                <c:pt idx="5">
                  <c:v>Desktop </c:v>
                </c:pt>
                <c:pt idx="6">
                  <c:v>Fridge </c:v>
                </c:pt>
                <c:pt idx="7">
                  <c:v>Headphone</c:v>
                </c:pt>
                <c:pt idx="8">
                  <c:v>Laptop HP xyz</c:v>
                </c:pt>
                <c:pt idx="9">
                  <c:v>Mouse</c:v>
                </c:pt>
                <c:pt idx="10">
                  <c:v>RGB Keyboard</c:v>
                </c:pt>
                <c:pt idx="11">
                  <c:v>Smart Watch</c:v>
                </c:pt>
                <c:pt idx="12">
                  <c:v>Speakers</c:v>
                </c:pt>
                <c:pt idx="13">
                  <c:v>T V</c:v>
                </c:pt>
                <c:pt idx="14">
                  <c:v>Tablets</c:v>
                </c:pt>
                <c:pt idx="15">
                  <c:v>Wireless Printer</c:v>
                </c:pt>
              </c:strCache>
            </c:strRef>
          </c:cat>
          <c:val>
            <c:numRef>
              <c:f>Pivotes!$J$3:$J$19</c:f>
              <c:numCache>
                <c:formatCode>General</c:formatCode>
                <c:ptCount val="16"/>
                <c:pt idx="0">
                  <c:v>8</c:v>
                </c:pt>
                <c:pt idx="1">
                  <c:v>30</c:v>
                </c:pt>
                <c:pt idx="2">
                  <c:v>7</c:v>
                </c:pt>
                <c:pt idx="3">
                  <c:v>0</c:v>
                </c:pt>
                <c:pt idx="4">
                  <c:v>4</c:v>
                </c:pt>
                <c:pt idx="5">
                  <c:v>54</c:v>
                </c:pt>
                <c:pt idx="6">
                  <c:v>32</c:v>
                </c:pt>
                <c:pt idx="7">
                  <c:v>25</c:v>
                </c:pt>
                <c:pt idx="8">
                  <c:v>0</c:v>
                </c:pt>
                <c:pt idx="9">
                  <c:v>20</c:v>
                </c:pt>
                <c:pt idx="10">
                  <c:v>5</c:v>
                </c:pt>
                <c:pt idx="11">
                  <c:v>40</c:v>
                </c:pt>
                <c:pt idx="12">
                  <c:v>0</c:v>
                </c:pt>
                <c:pt idx="13">
                  <c:v>5</c:v>
                </c:pt>
                <c:pt idx="14">
                  <c:v>0</c:v>
                </c:pt>
                <c:pt idx="1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18-4175-8DE2-E00C963677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59419840"/>
        <c:axId val="659420560"/>
        <c:axId val="0"/>
      </c:bar3DChart>
      <c:catAx>
        <c:axId val="659419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9420560"/>
        <c:crosses val="autoZero"/>
        <c:auto val="1"/>
        <c:lblAlgn val="ctr"/>
        <c:lblOffset val="100"/>
        <c:noMultiLvlLbl val="0"/>
      </c:catAx>
      <c:valAx>
        <c:axId val="659420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9419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Sales!A1"/><Relationship Id="rId13" Type="http://schemas.openxmlformats.org/officeDocument/2006/relationships/image" Target="../media/image5.png"/><Relationship Id="rId18" Type="http://schemas.openxmlformats.org/officeDocument/2006/relationships/image" Target="../media/image10.svg"/><Relationship Id="rId26" Type="http://schemas.openxmlformats.org/officeDocument/2006/relationships/image" Target="../media/image18.svg"/><Relationship Id="rId3" Type="http://schemas.openxmlformats.org/officeDocument/2006/relationships/hyperlink" Target="#Customer!A1"/><Relationship Id="rId21" Type="http://schemas.openxmlformats.org/officeDocument/2006/relationships/image" Target="../media/image13.png"/><Relationship Id="rId7" Type="http://schemas.openxmlformats.org/officeDocument/2006/relationships/hyperlink" Target="#Purchase!A1"/><Relationship Id="rId12" Type="http://schemas.openxmlformats.org/officeDocument/2006/relationships/image" Target="../media/image4.svg"/><Relationship Id="rId17" Type="http://schemas.openxmlformats.org/officeDocument/2006/relationships/image" Target="../media/image9.png"/><Relationship Id="rId25" Type="http://schemas.openxmlformats.org/officeDocument/2006/relationships/image" Target="../media/image17.png"/><Relationship Id="rId2" Type="http://schemas.openxmlformats.org/officeDocument/2006/relationships/image" Target="../media/image2.svg"/><Relationship Id="rId16" Type="http://schemas.openxmlformats.org/officeDocument/2006/relationships/image" Target="../media/image8.svg"/><Relationship Id="rId20" Type="http://schemas.openxmlformats.org/officeDocument/2006/relationships/image" Target="../media/image12.svg"/><Relationship Id="rId29" Type="http://schemas.openxmlformats.org/officeDocument/2006/relationships/chart" Target="../charts/chart3.xml"/><Relationship Id="rId1" Type="http://schemas.openxmlformats.org/officeDocument/2006/relationships/image" Target="../media/image1.png"/><Relationship Id="rId6" Type="http://schemas.openxmlformats.org/officeDocument/2006/relationships/hyperlink" Target="#'New Entry'!A1"/><Relationship Id="rId11" Type="http://schemas.openxmlformats.org/officeDocument/2006/relationships/image" Target="../media/image3.png"/><Relationship Id="rId24" Type="http://schemas.openxmlformats.org/officeDocument/2006/relationships/image" Target="../media/image16.svg"/><Relationship Id="rId5" Type="http://schemas.openxmlformats.org/officeDocument/2006/relationships/hyperlink" Target="#Vendors!A1"/><Relationship Id="rId15" Type="http://schemas.openxmlformats.org/officeDocument/2006/relationships/image" Target="../media/image7.png"/><Relationship Id="rId23" Type="http://schemas.openxmlformats.org/officeDocument/2006/relationships/image" Target="../media/image15.png"/><Relationship Id="rId28" Type="http://schemas.openxmlformats.org/officeDocument/2006/relationships/chart" Target="../charts/chart2.xml"/><Relationship Id="rId10" Type="http://schemas.openxmlformats.org/officeDocument/2006/relationships/hyperlink" Target="#Dashboard!A1"/><Relationship Id="rId19" Type="http://schemas.openxmlformats.org/officeDocument/2006/relationships/image" Target="../media/image11.png"/><Relationship Id="rId4" Type="http://schemas.openxmlformats.org/officeDocument/2006/relationships/hyperlink" Target="#Products!A1"/><Relationship Id="rId9" Type="http://schemas.openxmlformats.org/officeDocument/2006/relationships/hyperlink" Target="#Inventory!A1"/><Relationship Id="rId14" Type="http://schemas.openxmlformats.org/officeDocument/2006/relationships/image" Target="../media/image6.svg"/><Relationship Id="rId22" Type="http://schemas.openxmlformats.org/officeDocument/2006/relationships/image" Target="../media/image14.svg"/><Relationship Id="rId27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Sales!A1"/><Relationship Id="rId13" Type="http://schemas.openxmlformats.org/officeDocument/2006/relationships/image" Target="../media/image5.png"/><Relationship Id="rId18" Type="http://schemas.openxmlformats.org/officeDocument/2006/relationships/image" Target="../media/image10.svg"/><Relationship Id="rId26" Type="http://schemas.openxmlformats.org/officeDocument/2006/relationships/image" Target="../media/image18.svg"/><Relationship Id="rId3" Type="http://schemas.openxmlformats.org/officeDocument/2006/relationships/hyperlink" Target="#Customer!A1"/><Relationship Id="rId21" Type="http://schemas.openxmlformats.org/officeDocument/2006/relationships/image" Target="../media/image13.png"/><Relationship Id="rId7" Type="http://schemas.openxmlformats.org/officeDocument/2006/relationships/hyperlink" Target="#Purchase!A1"/><Relationship Id="rId12" Type="http://schemas.openxmlformats.org/officeDocument/2006/relationships/image" Target="../media/image19.svg"/><Relationship Id="rId17" Type="http://schemas.openxmlformats.org/officeDocument/2006/relationships/image" Target="../media/image9.png"/><Relationship Id="rId25" Type="http://schemas.openxmlformats.org/officeDocument/2006/relationships/image" Target="../media/image17.png"/><Relationship Id="rId2" Type="http://schemas.openxmlformats.org/officeDocument/2006/relationships/image" Target="../media/image2.svg"/><Relationship Id="rId16" Type="http://schemas.openxmlformats.org/officeDocument/2006/relationships/image" Target="../media/image8.svg"/><Relationship Id="rId20" Type="http://schemas.openxmlformats.org/officeDocument/2006/relationships/image" Target="../media/image12.svg"/><Relationship Id="rId1" Type="http://schemas.openxmlformats.org/officeDocument/2006/relationships/image" Target="../media/image1.png"/><Relationship Id="rId6" Type="http://schemas.openxmlformats.org/officeDocument/2006/relationships/hyperlink" Target="#'New Entry'!A1"/><Relationship Id="rId11" Type="http://schemas.openxmlformats.org/officeDocument/2006/relationships/image" Target="../media/image3.png"/><Relationship Id="rId24" Type="http://schemas.openxmlformats.org/officeDocument/2006/relationships/image" Target="../media/image16.svg"/><Relationship Id="rId5" Type="http://schemas.openxmlformats.org/officeDocument/2006/relationships/hyperlink" Target="#Vendors!A1"/><Relationship Id="rId15" Type="http://schemas.openxmlformats.org/officeDocument/2006/relationships/image" Target="../media/image7.png"/><Relationship Id="rId23" Type="http://schemas.openxmlformats.org/officeDocument/2006/relationships/image" Target="../media/image15.png"/><Relationship Id="rId10" Type="http://schemas.openxmlformats.org/officeDocument/2006/relationships/hyperlink" Target="#Dashboard!A1"/><Relationship Id="rId19" Type="http://schemas.openxmlformats.org/officeDocument/2006/relationships/image" Target="../media/image11.png"/><Relationship Id="rId4" Type="http://schemas.openxmlformats.org/officeDocument/2006/relationships/hyperlink" Target="#Products!A1"/><Relationship Id="rId9" Type="http://schemas.openxmlformats.org/officeDocument/2006/relationships/hyperlink" Target="#Inventory!A1"/><Relationship Id="rId14" Type="http://schemas.openxmlformats.org/officeDocument/2006/relationships/image" Target="../media/image20.svg"/><Relationship Id="rId22" Type="http://schemas.openxmlformats.org/officeDocument/2006/relationships/image" Target="../media/image14.sv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Sales!A1"/><Relationship Id="rId13" Type="http://schemas.openxmlformats.org/officeDocument/2006/relationships/image" Target="../media/image5.png"/><Relationship Id="rId18" Type="http://schemas.openxmlformats.org/officeDocument/2006/relationships/image" Target="../media/image10.svg"/><Relationship Id="rId26" Type="http://schemas.openxmlformats.org/officeDocument/2006/relationships/image" Target="../media/image18.svg"/><Relationship Id="rId3" Type="http://schemas.openxmlformats.org/officeDocument/2006/relationships/hyperlink" Target="#Customer!A1"/><Relationship Id="rId21" Type="http://schemas.openxmlformats.org/officeDocument/2006/relationships/image" Target="../media/image13.png"/><Relationship Id="rId7" Type="http://schemas.openxmlformats.org/officeDocument/2006/relationships/hyperlink" Target="#Purchase!A1"/><Relationship Id="rId12" Type="http://schemas.openxmlformats.org/officeDocument/2006/relationships/image" Target="../media/image19.svg"/><Relationship Id="rId17" Type="http://schemas.openxmlformats.org/officeDocument/2006/relationships/image" Target="../media/image9.png"/><Relationship Id="rId25" Type="http://schemas.openxmlformats.org/officeDocument/2006/relationships/image" Target="../media/image17.png"/><Relationship Id="rId2" Type="http://schemas.openxmlformats.org/officeDocument/2006/relationships/image" Target="../media/image2.svg"/><Relationship Id="rId16" Type="http://schemas.openxmlformats.org/officeDocument/2006/relationships/image" Target="../media/image8.svg"/><Relationship Id="rId20" Type="http://schemas.openxmlformats.org/officeDocument/2006/relationships/image" Target="../media/image12.svg"/><Relationship Id="rId1" Type="http://schemas.openxmlformats.org/officeDocument/2006/relationships/image" Target="../media/image1.png"/><Relationship Id="rId6" Type="http://schemas.openxmlformats.org/officeDocument/2006/relationships/hyperlink" Target="#'New Entry'!A1"/><Relationship Id="rId11" Type="http://schemas.openxmlformats.org/officeDocument/2006/relationships/image" Target="../media/image3.png"/><Relationship Id="rId24" Type="http://schemas.openxmlformats.org/officeDocument/2006/relationships/image" Target="../media/image16.svg"/><Relationship Id="rId5" Type="http://schemas.openxmlformats.org/officeDocument/2006/relationships/hyperlink" Target="#Vendors!A1"/><Relationship Id="rId15" Type="http://schemas.openxmlformats.org/officeDocument/2006/relationships/image" Target="../media/image7.png"/><Relationship Id="rId23" Type="http://schemas.openxmlformats.org/officeDocument/2006/relationships/image" Target="../media/image15.png"/><Relationship Id="rId10" Type="http://schemas.openxmlformats.org/officeDocument/2006/relationships/hyperlink" Target="#Dashboard!A1"/><Relationship Id="rId19" Type="http://schemas.openxmlformats.org/officeDocument/2006/relationships/image" Target="../media/image11.png"/><Relationship Id="rId4" Type="http://schemas.openxmlformats.org/officeDocument/2006/relationships/hyperlink" Target="#Products!A1"/><Relationship Id="rId9" Type="http://schemas.openxmlformats.org/officeDocument/2006/relationships/hyperlink" Target="#Inventory!A1"/><Relationship Id="rId14" Type="http://schemas.openxmlformats.org/officeDocument/2006/relationships/image" Target="../media/image6.svg"/><Relationship Id="rId22" Type="http://schemas.openxmlformats.org/officeDocument/2006/relationships/image" Target="../media/image14.sv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hyperlink" Target="#Sales!A1"/><Relationship Id="rId13" Type="http://schemas.openxmlformats.org/officeDocument/2006/relationships/image" Target="../media/image5.png"/><Relationship Id="rId18" Type="http://schemas.openxmlformats.org/officeDocument/2006/relationships/image" Target="../media/image22.svg"/><Relationship Id="rId26" Type="http://schemas.openxmlformats.org/officeDocument/2006/relationships/image" Target="../media/image18.svg"/><Relationship Id="rId3" Type="http://schemas.openxmlformats.org/officeDocument/2006/relationships/hyperlink" Target="#Customer!A1"/><Relationship Id="rId21" Type="http://schemas.openxmlformats.org/officeDocument/2006/relationships/image" Target="../media/image13.png"/><Relationship Id="rId7" Type="http://schemas.openxmlformats.org/officeDocument/2006/relationships/hyperlink" Target="#Purchase!A1"/><Relationship Id="rId12" Type="http://schemas.openxmlformats.org/officeDocument/2006/relationships/image" Target="../media/image19.svg"/><Relationship Id="rId17" Type="http://schemas.openxmlformats.org/officeDocument/2006/relationships/image" Target="../media/image21.png"/><Relationship Id="rId25" Type="http://schemas.openxmlformats.org/officeDocument/2006/relationships/image" Target="../media/image17.png"/><Relationship Id="rId2" Type="http://schemas.openxmlformats.org/officeDocument/2006/relationships/image" Target="../media/image2.svg"/><Relationship Id="rId16" Type="http://schemas.openxmlformats.org/officeDocument/2006/relationships/image" Target="../media/image8.svg"/><Relationship Id="rId20" Type="http://schemas.openxmlformats.org/officeDocument/2006/relationships/image" Target="../media/image12.svg"/><Relationship Id="rId1" Type="http://schemas.openxmlformats.org/officeDocument/2006/relationships/image" Target="../media/image1.png"/><Relationship Id="rId6" Type="http://schemas.openxmlformats.org/officeDocument/2006/relationships/hyperlink" Target="#'New Entry'!A1"/><Relationship Id="rId11" Type="http://schemas.openxmlformats.org/officeDocument/2006/relationships/image" Target="../media/image3.png"/><Relationship Id="rId24" Type="http://schemas.openxmlformats.org/officeDocument/2006/relationships/image" Target="../media/image16.svg"/><Relationship Id="rId5" Type="http://schemas.openxmlformats.org/officeDocument/2006/relationships/hyperlink" Target="#Vendors!A1"/><Relationship Id="rId15" Type="http://schemas.openxmlformats.org/officeDocument/2006/relationships/image" Target="../media/image7.png"/><Relationship Id="rId23" Type="http://schemas.openxmlformats.org/officeDocument/2006/relationships/image" Target="../media/image15.png"/><Relationship Id="rId10" Type="http://schemas.openxmlformats.org/officeDocument/2006/relationships/hyperlink" Target="#Dashboard!A1"/><Relationship Id="rId19" Type="http://schemas.openxmlformats.org/officeDocument/2006/relationships/image" Target="../media/image11.png"/><Relationship Id="rId4" Type="http://schemas.openxmlformats.org/officeDocument/2006/relationships/hyperlink" Target="#Products!A1"/><Relationship Id="rId9" Type="http://schemas.openxmlformats.org/officeDocument/2006/relationships/hyperlink" Target="#Inventory!A1"/><Relationship Id="rId14" Type="http://schemas.openxmlformats.org/officeDocument/2006/relationships/image" Target="../media/image6.svg"/><Relationship Id="rId22" Type="http://schemas.openxmlformats.org/officeDocument/2006/relationships/image" Target="../media/image14.sv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hyperlink" Target="#Sales!A1"/><Relationship Id="rId13" Type="http://schemas.openxmlformats.org/officeDocument/2006/relationships/image" Target="../media/image5.png"/><Relationship Id="rId18" Type="http://schemas.openxmlformats.org/officeDocument/2006/relationships/image" Target="../media/image10.svg"/><Relationship Id="rId26" Type="http://schemas.openxmlformats.org/officeDocument/2006/relationships/image" Target="../media/image18.svg"/><Relationship Id="rId3" Type="http://schemas.openxmlformats.org/officeDocument/2006/relationships/hyperlink" Target="#Customer!A1"/><Relationship Id="rId21" Type="http://schemas.openxmlformats.org/officeDocument/2006/relationships/image" Target="../media/image13.png"/><Relationship Id="rId7" Type="http://schemas.openxmlformats.org/officeDocument/2006/relationships/hyperlink" Target="#Purchase!A1"/><Relationship Id="rId12" Type="http://schemas.openxmlformats.org/officeDocument/2006/relationships/image" Target="../media/image4.svg"/><Relationship Id="rId17" Type="http://schemas.openxmlformats.org/officeDocument/2006/relationships/image" Target="../media/image9.png"/><Relationship Id="rId25" Type="http://schemas.openxmlformats.org/officeDocument/2006/relationships/image" Target="../media/image17.png"/><Relationship Id="rId2" Type="http://schemas.openxmlformats.org/officeDocument/2006/relationships/image" Target="../media/image2.svg"/><Relationship Id="rId16" Type="http://schemas.openxmlformats.org/officeDocument/2006/relationships/image" Target="../media/image8.svg"/><Relationship Id="rId20" Type="http://schemas.openxmlformats.org/officeDocument/2006/relationships/image" Target="../media/image23.svg"/><Relationship Id="rId1" Type="http://schemas.openxmlformats.org/officeDocument/2006/relationships/image" Target="../media/image1.png"/><Relationship Id="rId6" Type="http://schemas.openxmlformats.org/officeDocument/2006/relationships/hyperlink" Target="#'New Entry'!A1"/><Relationship Id="rId11" Type="http://schemas.openxmlformats.org/officeDocument/2006/relationships/image" Target="../media/image3.png"/><Relationship Id="rId24" Type="http://schemas.openxmlformats.org/officeDocument/2006/relationships/image" Target="../media/image16.svg"/><Relationship Id="rId5" Type="http://schemas.openxmlformats.org/officeDocument/2006/relationships/hyperlink" Target="#Vendors!A1"/><Relationship Id="rId15" Type="http://schemas.openxmlformats.org/officeDocument/2006/relationships/image" Target="../media/image7.png"/><Relationship Id="rId23" Type="http://schemas.openxmlformats.org/officeDocument/2006/relationships/image" Target="../media/image15.png"/><Relationship Id="rId10" Type="http://schemas.openxmlformats.org/officeDocument/2006/relationships/hyperlink" Target="#Dashboard!A1"/><Relationship Id="rId19" Type="http://schemas.openxmlformats.org/officeDocument/2006/relationships/image" Target="../media/image11.png"/><Relationship Id="rId4" Type="http://schemas.openxmlformats.org/officeDocument/2006/relationships/hyperlink" Target="#Products!A1"/><Relationship Id="rId9" Type="http://schemas.openxmlformats.org/officeDocument/2006/relationships/hyperlink" Target="#Inventory!A1"/><Relationship Id="rId14" Type="http://schemas.openxmlformats.org/officeDocument/2006/relationships/image" Target="../media/image6.svg"/><Relationship Id="rId22" Type="http://schemas.openxmlformats.org/officeDocument/2006/relationships/image" Target="../media/image14.sv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hyperlink" Target="#Sales!A1"/><Relationship Id="rId13" Type="http://schemas.openxmlformats.org/officeDocument/2006/relationships/image" Target="../media/image5.png"/><Relationship Id="rId18" Type="http://schemas.openxmlformats.org/officeDocument/2006/relationships/image" Target="../media/image10.svg"/><Relationship Id="rId26" Type="http://schemas.openxmlformats.org/officeDocument/2006/relationships/image" Target="../media/image18.svg"/><Relationship Id="rId3" Type="http://schemas.openxmlformats.org/officeDocument/2006/relationships/hyperlink" Target="#Customer!A1"/><Relationship Id="rId21" Type="http://schemas.openxmlformats.org/officeDocument/2006/relationships/image" Target="../media/image13.png"/><Relationship Id="rId7" Type="http://schemas.openxmlformats.org/officeDocument/2006/relationships/hyperlink" Target="#Purchase!A1"/><Relationship Id="rId12" Type="http://schemas.openxmlformats.org/officeDocument/2006/relationships/image" Target="../media/image4.svg"/><Relationship Id="rId17" Type="http://schemas.openxmlformats.org/officeDocument/2006/relationships/image" Target="../media/image9.png"/><Relationship Id="rId25" Type="http://schemas.openxmlformats.org/officeDocument/2006/relationships/image" Target="../media/image17.png"/><Relationship Id="rId2" Type="http://schemas.openxmlformats.org/officeDocument/2006/relationships/image" Target="../media/image2.svg"/><Relationship Id="rId16" Type="http://schemas.openxmlformats.org/officeDocument/2006/relationships/image" Target="../media/image8.svg"/><Relationship Id="rId20" Type="http://schemas.openxmlformats.org/officeDocument/2006/relationships/image" Target="../media/image12.svg"/><Relationship Id="rId1" Type="http://schemas.openxmlformats.org/officeDocument/2006/relationships/image" Target="../media/image1.png"/><Relationship Id="rId6" Type="http://schemas.openxmlformats.org/officeDocument/2006/relationships/hyperlink" Target="#'New Entry'!A1"/><Relationship Id="rId11" Type="http://schemas.openxmlformats.org/officeDocument/2006/relationships/image" Target="../media/image3.png"/><Relationship Id="rId24" Type="http://schemas.openxmlformats.org/officeDocument/2006/relationships/image" Target="../media/image16.svg"/><Relationship Id="rId5" Type="http://schemas.openxmlformats.org/officeDocument/2006/relationships/hyperlink" Target="#Vendors!A1"/><Relationship Id="rId15" Type="http://schemas.openxmlformats.org/officeDocument/2006/relationships/image" Target="../media/image7.png"/><Relationship Id="rId23" Type="http://schemas.openxmlformats.org/officeDocument/2006/relationships/image" Target="../media/image15.png"/><Relationship Id="rId10" Type="http://schemas.openxmlformats.org/officeDocument/2006/relationships/hyperlink" Target="#Dashboard!A1"/><Relationship Id="rId19" Type="http://schemas.openxmlformats.org/officeDocument/2006/relationships/image" Target="../media/image11.png"/><Relationship Id="rId4" Type="http://schemas.openxmlformats.org/officeDocument/2006/relationships/hyperlink" Target="#Products!A1"/><Relationship Id="rId9" Type="http://schemas.openxmlformats.org/officeDocument/2006/relationships/hyperlink" Target="#Inventory!A1"/><Relationship Id="rId14" Type="http://schemas.openxmlformats.org/officeDocument/2006/relationships/image" Target="../media/image6.svg"/><Relationship Id="rId22" Type="http://schemas.openxmlformats.org/officeDocument/2006/relationships/image" Target="../media/image14.sv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hyperlink" Target="#Sales!A1"/><Relationship Id="rId13" Type="http://schemas.openxmlformats.org/officeDocument/2006/relationships/image" Target="../media/image5.png"/><Relationship Id="rId18" Type="http://schemas.openxmlformats.org/officeDocument/2006/relationships/image" Target="../media/image10.svg"/><Relationship Id="rId26" Type="http://schemas.openxmlformats.org/officeDocument/2006/relationships/image" Target="../media/image18.svg"/><Relationship Id="rId3" Type="http://schemas.openxmlformats.org/officeDocument/2006/relationships/hyperlink" Target="#Customer!A1"/><Relationship Id="rId21" Type="http://schemas.openxmlformats.org/officeDocument/2006/relationships/image" Target="../media/image13.png"/><Relationship Id="rId7" Type="http://schemas.openxmlformats.org/officeDocument/2006/relationships/hyperlink" Target="#Purchase!A1"/><Relationship Id="rId12" Type="http://schemas.openxmlformats.org/officeDocument/2006/relationships/image" Target="../media/image4.svg"/><Relationship Id="rId17" Type="http://schemas.openxmlformats.org/officeDocument/2006/relationships/image" Target="../media/image9.png"/><Relationship Id="rId25" Type="http://schemas.openxmlformats.org/officeDocument/2006/relationships/image" Target="../media/image17.png"/><Relationship Id="rId2" Type="http://schemas.openxmlformats.org/officeDocument/2006/relationships/image" Target="../media/image2.svg"/><Relationship Id="rId16" Type="http://schemas.openxmlformats.org/officeDocument/2006/relationships/image" Target="../media/image8.svg"/><Relationship Id="rId20" Type="http://schemas.openxmlformats.org/officeDocument/2006/relationships/image" Target="../media/image12.svg"/><Relationship Id="rId1" Type="http://schemas.openxmlformats.org/officeDocument/2006/relationships/image" Target="../media/image1.png"/><Relationship Id="rId6" Type="http://schemas.openxmlformats.org/officeDocument/2006/relationships/hyperlink" Target="#'New Entry'!A1"/><Relationship Id="rId11" Type="http://schemas.openxmlformats.org/officeDocument/2006/relationships/image" Target="../media/image3.png"/><Relationship Id="rId24" Type="http://schemas.openxmlformats.org/officeDocument/2006/relationships/image" Target="../media/image16.svg"/><Relationship Id="rId5" Type="http://schemas.openxmlformats.org/officeDocument/2006/relationships/hyperlink" Target="#Vendors!A1"/><Relationship Id="rId15" Type="http://schemas.openxmlformats.org/officeDocument/2006/relationships/image" Target="../media/image7.png"/><Relationship Id="rId23" Type="http://schemas.openxmlformats.org/officeDocument/2006/relationships/image" Target="../media/image15.png"/><Relationship Id="rId10" Type="http://schemas.openxmlformats.org/officeDocument/2006/relationships/hyperlink" Target="#Dashboard!A1"/><Relationship Id="rId19" Type="http://schemas.openxmlformats.org/officeDocument/2006/relationships/image" Target="../media/image11.png"/><Relationship Id="rId4" Type="http://schemas.openxmlformats.org/officeDocument/2006/relationships/hyperlink" Target="#Products!A1"/><Relationship Id="rId9" Type="http://schemas.openxmlformats.org/officeDocument/2006/relationships/hyperlink" Target="#Inventory!A1"/><Relationship Id="rId14" Type="http://schemas.openxmlformats.org/officeDocument/2006/relationships/image" Target="../media/image6.svg"/><Relationship Id="rId22" Type="http://schemas.openxmlformats.org/officeDocument/2006/relationships/image" Target="../media/image14.sv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hyperlink" Target="#Sales!A1"/><Relationship Id="rId13" Type="http://schemas.openxmlformats.org/officeDocument/2006/relationships/image" Target="../media/image5.png"/><Relationship Id="rId18" Type="http://schemas.openxmlformats.org/officeDocument/2006/relationships/image" Target="../media/image10.svg"/><Relationship Id="rId26" Type="http://schemas.openxmlformats.org/officeDocument/2006/relationships/image" Target="../media/image18.svg"/><Relationship Id="rId3" Type="http://schemas.openxmlformats.org/officeDocument/2006/relationships/hyperlink" Target="#Customer!A1"/><Relationship Id="rId21" Type="http://schemas.openxmlformats.org/officeDocument/2006/relationships/image" Target="../media/image13.png"/><Relationship Id="rId7" Type="http://schemas.openxmlformats.org/officeDocument/2006/relationships/hyperlink" Target="#Purchase!A1"/><Relationship Id="rId12" Type="http://schemas.openxmlformats.org/officeDocument/2006/relationships/image" Target="../media/image4.svg"/><Relationship Id="rId17" Type="http://schemas.openxmlformats.org/officeDocument/2006/relationships/image" Target="../media/image9.png"/><Relationship Id="rId25" Type="http://schemas.openxmlformats.org/officeDocument/2006/relationships/image" Target="../media/image17.png"/><Relationship Id="rId2" Type="http://schemas.openxmlformats.org/officeDocument/2006/relationships/image" Target="../media/image2.svg"/><Relationship Id="rId16" Type="http://schemas.openxmlformats.org/officeDocument/2006/relationships/image" Target="../media/image8.svg"/><Relationship Id="rId20" Type="http://schemas.openxmlformats.org/officeDocument/2006/relationships/image" Target="../media/image12.svg"/><Relationship Id="rId1" Type="http://schemas.openxmlformats.org/officeDocument/2006/relationships/image" Target="../media/image1.png"/><Relationship Id="rId6" Type="http://schemas.openxmlformats.org/officeDocument/2006/relationships/hyperlink" Target="#'New Entry'!A1"/><Relationship Id="rId11" Type="http://schemas.openxmlformats.org/officeDocument/2006/relationships/image" Target="../media/image3.png"/><Relationship Id="rId24" Type="http://schemas.openxmlformats.org/officeDocument/2006/relationships/image" Target="../media/image16.svg"/><Relationship Id="rId5" Type="http://schemas.openxmlformats.org/officeDocument/2006/relationships/hyperlink" Target="#Vendors!A1"/><Relationship Id="rId15" Type="http://schemas.openxmlformats.org/officeDocument/2006/relationships/image" Target="../media/image7.png"/><Relationship Id="rId23" Type="http://schemas.openxmlformats.org/officeDocument/2006/relationships/image" Target="../media/image15.png"/><Relationship Id="rId10" Type="http://schemas.openxmlformats.org/officeDocument/2006/relationships/hyperlink" Target="#Dashboard!A1"/><Relationship Id="rId19" Type="http://schemas.openxmlformats.org/officeDocument/2006/relationships/image" Target="../media/image11.png"/><Relationship Id="rId4" Type="http://schemas.openxmlformats.org/officeDocument/2006/relationships/hyperlink" Target="#Products!A1"/><Relationship Id="rId9" Type="http://schemas.openxmlformats.org/officeDocument/2006/relationships/hyperlink" Target="#Inventory!A1"/><Relationship Id="rId14" Type="http://schemas.openxmlformats.org/officeDocument/2006/relationships/image" Target="../media/image6.svg"/><Relationship Id="rId22" Type="http://schemas.openxmlformats.org/officeDocument/2006/relationships/image" Target="../media/image1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340145</xdr:colOff>
      <xdr:row>1</xdr:row>
      <xdr:rowOff>124124</xdr:rowOff>
    </xdr:from>
    <xdr:to>
      <xdr:col>1</xdr:col>
      <xdr:colOff>1254545</xdr:colOff>
      <xdr:row>6</xdr:row>
      <xdr:rowOff>117774</xdr:rowOff>
    </xdr:to>
    <xdr:pic>
      <xdr:nvPicPr>
        <xdr:cNvPr id="3" name="Graphic 2" descr="Bar chart">
          <a:extLst>
            <a:ext uri="{FF2B5EF4-FFF2-40B4-BE49-F238E27FC236}">
              <a16:creationId xmlns:a16="http://schemas.microsoft.com/office/drawing/2014/main" id="{87812E9A-264C-8D3C-00C9-A379966F2C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61796" y="309832"/>
          <a:ext cx="914400" cy="922187"/>
        </a:xfrm>
        <a:prstGeom prst="rect">
          <a:avLst/>
        </a:prstGeom>
      </xdr:spPr>
    </xdr:pic>
    <xdr:clientData/>
  </xdr:twoCellAnchor>
  <xdr:twoCellAnchor>
    <xdr:from>
      <xdr:col>1</xdr:col>
      <xdr:colOff>6350</xdr:colOff>
      <xdr:row>7</xdr:row>
      <xdr:rowOff>50800</xdr:rowOff>
    </xdr:from>
    <xdr:to>
      <xdr:col>1</xdr:col>
      <xdr:colOff>1494117</xdr:colOff>
      <xdr:row>9</xdr:row>
      <xdr:rowOff>177800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D434ADC-40E1-EBB3-13A1-F783C2AD2C57}"/>
            </a:ext>
          </a:extLst>
        </xdr:cNvPr>
        <xdr:cNvSpPr/>
      </xdr:nvSpPr>
      <xdr:spPr>
        <a:xfrm>
          <a:off x="230468" y="1358153"/>
          <a:ext cx="1487767" cy="500529"/>
        </a:xfrm>
        <a:prstGeom prst="rect">
          <a:avLst/>
        </a:prstGeom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950" b="1"/>
            <a:t>INVENTORY MANAGEMENT SYSTEM</a:t>
          </a:r>
        </a:p>
      </xdr:txBody>
    </xdr:sp>
    <xdr:clientData/>
  </xdr:twoCellAnchor>
  <xdr:twoCellAnchor editAs="absolute">
    <xdr:from>
      <xdr:col>1</xdr:col>
      <xdr:colOff>654050</xdr:colOff>
      <xdr:row>11</xdr:row>
      <xdr:rowOff>5556</xdr:rowOff>
    </xdr:from>
    <xdr:to>
      <xdr:col>2</xdr:col>
      <xdr:colOff>2381</xdr:colOff>
      <xdr:row>12</xdr:row>
      <xdr:rowOff>88106</xdr:rowOff>
    </xdr:to>
    <xdr:sp macro="" textlink="">
      <xdr:nvSpPr>
        <xdr:cNvPr id="5" name="Rectangle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859649E-3909-4982-8965-B0DEB827C825}"/>
            </a:ext>
          </a:extLst>
        </xdr:cNvPr>
        <xdr:cNvSpPr/>
      </xdr:nvSpPr>
      <xdr:spPr>
        <a:xfrm>
          <a:off x="876300" y="2031206"/>
          <a:ext cx="933450" cy="2667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200" b="1">
              <a:solidFill>
                <a:schemeClr val="bg2">
                  <a:lumMod val="50000"/>
                </a:schemeClr>
              </a:solidFill>
            </a:rPr>
            <a:t>Customers</a:t>
          </a:r>
        </a:p>
      </xdr:txBody>
    </xdr:sp>
    <xdr:clientData/>
  </xdr:twoCellAnchor>
  <xdr:twoCellAnchor editAs="absolute">
    <xdr:from>
      <xdr:col>1</xdr:col>
      <xdr:colOff>654050</xdr:colOff>
      <xdr:row>12</xdr:row>
      <xdr:rowOff>93662</xdr:rowOff>
    </xdr:from>
    <xdr:to>
      <xdr:col>2</xdr:col>
      <xdr:colOff>2381</xdr:colOff>
      <xdr:row>13</xdr:row>
      <xdr:rowOff>176212</xdr:rowOff>
    </xdr:to>
    <xdr:sp macro="" textlink="">
      <xdr:nvSpPr>
        <xdr:cNvPr id="6" name="Rectangle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E906C75-3995-4C8A-9886-D2F9CECDAF4F}"/>
            </a:ext>
          </a:extLst>
        </xdr:cNvPr>
        <xdr:cNvSpPr/>
      </xdr:nvSpPr>
      <xdr:spPr>
        <a:xfrm>
          <a:off x="876300" y="2303462"/>
          <a:ext cx="933450" cy="2667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200" b="1">
              <a:solidFill>
                <a:schemeClr val="bg2">
                  <a:lumMod val="50000"/>
                </a:schemeClr>
              </a:solidFill>
            </a:rPr>
            <a:t>Products</a:t>
          </a:r>
        </a:p>
      </xdr:txBody>
    </xdr:sp>
    <xdr:clientData/>
  </xdr:twoCellAnchor>
  <xdr:twoCellAnchor editAs="absolute">
    <xdr:from>
      <xdr:col>1</xdr:col>
      <xdr:colOff>654050</xdr:colOff>
      <xdr:row>14</xdr:row>
      <xdr:rowOff>339</xdr:rowOff>
    </xdr:from>
    <xdr:to>
      <xdr:col>2</xdr:col>
      <xdr:colOff>2381</xdr:colOff>
      <xdr:row>15</xdr:row>
      <xdr:rowOff>16668</xdr:rowOff>
    </xdr:to>
    <xdr:sp macro="" textlink="">
      <xdr:nvSpPr>
        <xdr:cNvPr id="7" name="Rectangle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3FBF09B-57E3-410C-86C2-BC72A84918F9}"/>
            </a:ext>
          </a:extLst>
        </xdr:cNvPr>
        <xdr:cNvSpPr/>
      </xdr:nvSpPr>
      <xdr:spPr>
        <a:xfrm>
          <a:off x="876300" y="2575718"/>
          <a:ext cx="933450" cy="2667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200" b="1">
              <a:solidFill>
                <a:schemeClr val="bg2">
                  <a:lumMod val="50000"/>
                </a:schemeClr>
              </a:solidFill>
            </a:rPr>
            <a:t>Vendors</a:t>
          </a:r>
        </a:p>
        <a:p>
          <a:pPr algn="l"/>
          <a:endParaRPr lang="en-IN" sz="1200" b="1">
            <a:solidFill>
              <a:schemeClr val="bg2">
                <a:lumMod val="50000"/>
              </a:schemeClr>
            </a:solidFill>
          </a:endParaRPr>
        </a:p>
      </xdr:txBody>
    </xdr:sp>
    <xdr:clientData/>
  </xdr:twoCellAnchor>
  <xdr:twoCellAnchor editAs="absolute">
    <xdr:from>
      <xdr:col>1</xdr:col>
      <xdr:colOff>654050</xdr:colOff>
      <xdr:row>15</xdr:row>
      <xdr:rowOff>22224</xdr:rowOff>
    </xdr:from>
    <xdr:to>
      <xdr:col>2</xdr:col>
      <xdr:colOff>2381</xdr:colOff>
      <xdr:row>16</xdr:row>
      <xdr:rowOff>104774</xdr:rowOff>
    </xdr:to>
    <xdr:sp macro="" textlink="">
      <xdr:nvSpPr>
        <xdr:cNvPr id="8" name="Rectangle 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50479F0-48BF-4C95-8C50-389BD71201CF}"/>
            </a:ext>
          </a:extLst>
        </xdr:cNvPr>
        <xdr:cNvSpPr/>
      </xdr:nvSpPr>
      <xdr:spPr>
        <a:xfrm>
          <a:off x="876300" y="2847974"/>
          <a:ext cx="933450" cy="2667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200" b="1">
              <a:solidFill>
                <a:schemeClr val="bg2">
                  <a:lumMod val="50000"/>
                </a:schemeClr>
              </a:solidFill>
            </a:rPr>
            <a:t>New Entry</a:t>
          </a:r>
        </a:p>
      </xdr:txBody>
    </xdr:sp>
    <xdr:clientData/>
  </xdr:twoCellAnchor>
  <xdr:twoCellAnchor editAs="absolute">
    <xdr:from>
      <xdr:col>1</xdr:col>
      <xdr:colOff>654050</xdr:colOff>
      <xdr:row>16</xdr:row>
      <xdr:rowOff>110330</xdr:rowOff>
    </xdr:from>
    <xdr:to>
      <xdr:col>2</xdr:col>
      <xdr:colOff>2381</xdr:colOff>
      <xdr:row>18</xdr:row>
      <xdr:rowOff>8730</xdr:rowOff>
    </xdr:to>
    <xdr:sp macro="" textlink="">
      <xdr:nvSpPr>
        <xdr:cNvPr id="9" name="Rectangle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F1CDD860-B824-442F-ABFE-00EC97E5C5DE}"/>
            </a:ext>
          </a:extLst>
        </xdr:cNvPr>
        <xdr:cNvSpPr/>
      </xdr:nvSpPr>
      <xdr:spPr>
        <a:xfrm>
          <a:off x="876300" y="3120230"/>
          <a:ext cx="933450" cy="2667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200" b="1">
              <a:solidFill>
                <a:schemeClr val="bg2">
                  <a:lumMod val="50000"/>
                </a:schemeClr>
              </a:solidFill>
            </a:rPr>
            <a:t>Purchase</a:t>
          </a:r>
        </a:p>
      </xdr:txBody>
    </xdr:sp>
    <xdr:clientData/>
  </xdr:twoCellAnchor>
  <xdr:twoCellAnchor editAs="absolute">
    <xdr:from>
      <xdr:col>1</xdr:col>
      <xdr:colOff>654050</xdr:colOff>
      <xdr:row>18</xdr:row>
      <xdr:rowOff>14286</xdr:rowOff>
    </xdr:from>
    <xdr:to>
      <xdr:col>2</xdr:col>
      <xdr:colOff>2381</xdr:colOff>
      <xdr:row>19</xdr:row>
      <xdr:rowOff>96836</xdr:rowOff>
    </xdr:to>
    <xdr:sp macro="" textlink="">
      <xdr:nvSpPr>
        <xdr:cNvPr id="10" name="Rectangle 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F7DFE265-208D-4460-A7DE-0CA60515F083}"/>
            </a:ext>
          </a:extLst>
        </xdr:cNvPr>
        <xdr:cNvSpPr/>
      </xdr:nvSpPr>
      <xdr:spPr>
        <a:xfrm>
          <a:off x="876300" y="3392486"/>
          <a:ext cx="933450" cy="2667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200" b="1">
              <a:solidFill>
                <a:schemeClr val="bg2">
                  <a:lumMod val="50000"/>
                </a:schemeClr>
              </a:solidFill>
            </a:rPr>
            <a:t>Sales</a:t>
          </a:r>
        </a:p>
        <a:p>
          <a:pPr algn="l"/>
          <a:endParaRPr lang="en-IN" sz="1200" b="1">
            <a:solidFill>
              <a:schemeClr val="bg2">
                <a:lumMod val="50000"/>
              </a:schemeClr>
            </a:solidFill>
          </a:endParaRPr>
        </a:p>
      </xdr:txBody>
    </xdr:sp>
    <xdr:clientData/>
  </xdr:twoCellAnchor>
  <xdr:twoCellAnchor editAs="absolute">
    <xdr:from>
      <xdr:col>1</xdr:col>
      <xdr:colOff>654050</xdr:colOff>
      <xdr:row>19</xdr:row>
      <xdr:rowOff>102392</xdr:rowOff>
    </xdr:from>
    <xdr:to>
      <xdr:col>2</xdr:col>
      <xdr:colOff>2381</xdr:colOff>
      <xdr:row>21</xdr:row>
      <xdr:rowOff>792</xdr:rowOff>
    </xdr:to>
    <xdr:sp macro="" textlink="">
      <xdr:nvSpPr>
        <xdr:cNvPr id="11" name="Rectangle 10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6EB70B65-CF72-42A7-BF0E-85229777130B}"/>
            </a:ext>
          </a:extLst>
        </xdr:cNvPr>
        <xdr:cNvSpPr/>
      </xdr:nvSpPr>
      <xdr:spPr>
        <a:xfrm>
          <a:off x="876300" y="3664742"/>
          <a:ext cx="933450" cy="2667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200" b="1">
              <a:solidFill>
                <a:schemeClr val="bg2">
                  <a:lumMod val="50000"/>
                </a:schemeClr>
              </a:solidFill>
            </a:rPr>
            <a:t>Inventory</a:t>
          </a:r>
        </a:p>
      </xdr:txBody>
    </xdr:sp>
    <xdr:clientData/>
  </xdr:twoCellAnchor>
  <xdr:twoCellAnchor editAs="absolute">
    <xdr:from>
      <xdr:col>1</xdr:col>
      <xdr:colOff>654050</xdr:colOff>
      <xdr:row>9</xdr:row>
      <xdr:rowOff>101600</xdr:rowOff>
    </xdr:from>
    <xdr:to>
      <xdr:col>2</xdr:col>
      <xdr:colOff>2381</xdr:colOff>
      <xdr:row>11</xdr:row>
      <xdr:rowOff>3944</xdr:rowOff>
    </xdr:to>
    <xdr:sp macro="" textlink="">
      <xdr:nvSpPr>
        <xdr:cNvPr id="13" name="Rectangle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9FB5029B-AD9A-46CD-82B3-264DC47FE431}"/>
            </a:ext>
          </a:extLst>
        </xdr:cNvPr>
        <xdr:cNvSpPr/>
      </xdr:nvSpPr>
      <xdr:spPr>
        <a:xfrm>
          <a:off x="876300" y="1758950"/>
          <a:ext cx="933450" cy="2667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200" b="1">
              <a:solidFill>
                <a:schemeClr val="tx1">
                  <a:lumMod val="95000"/>
                  <a:lumOff val="5000"/>
                </a:schemeClr>
              </a:solidFill>
            </a:rPr>
            <a:t>Dashboard</a:t>
          </a:r>
        </a:p>
        <a:p>
          <a:pPr algn="l"/>
          <a:endParaRPr lang="en-IN" sz="1200" b="1">
            <a:solidFill>
              <a:schemeClr val="bg2">
                <a:lumMod val="50000"/>
              </a:schemeClr>
            </a:solidFill>
          </a:endParaRPr>
        </a:p>
      </xdr:txBody>
    </xdr:sp>
    <xdr:clientData/>
  </xdr:twoCellAnchor>
  <xdr:twoCellAnchor editAs="absolute">
    <xdr:from>
      <xdr:col>1</xdr:col>
      <xdr:colOff>158753</xdr:colOff>
      <xdr:row>9</xdr:row>
      <xdr:rowOff>146050</xdr:rowOff>
    </xdr:from>
    <xdr:to>
      <xdr:col>1</xdr:col>
      <xdr:colOff>351092</xdr:colOff>
      <xdr:row>10</xdr:row>
      <xdr:rowOff>144780</xdr:rowOff>
    </xdr:to>
    <xdr:pic>
      <xdr:nvPicPr>
        <xdr:cNvPr id="15" name="Graphic 14" descr="Gauge">
          <a:extLst>
            <a:ext uri="{FF2B5EF4-FFF2-40B4-BE49-F238E27FC236}">
              <a16:creationId xmlns:a16="http://schemas.microsoft.com/office/drawing/2014/main" id="{E29635FB-4A74-1D58-056D-632056808B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81003" y="1803400"/>
          <a:ext cx="192339" cy="182880"/>
        </a:xfrm>
        <a:prstGeom prst="rect">
          <a:avLst/>
        </a:prstGeom>
      </xdr:spPr>
    </xdr:pic>
    <xdr:clientData/>
  </xdr:twoCellAnchor>
  <xdr:twoCellAnchor editAs="absolute">
    <xdr:from>
      <xdr:col>1</xdr:col>
      <xdr:colOff>158753</xdr:colOff>
      <xdr:row>11</xdr:row>
      <xdr:rowOff>56243</xdr:rowOff>
    </xdr:from>
    <xdr:to>
      <xdr:col>1</xdr:col>
      <xdr:colOff>349253</xdr:colOff>
      <xdr:row>12</xdr:row>
      <xdr:rowOff>54973</xdr:rowOff>
    </xdr:to>
    <xdr:pic>
      <xdr:nvPicPr>
        <xdr:cNvPr id="17" name="Graphic 16" descr="Target Audience">
          <a:extLst>
            <a:ext uri="{FF2B5EF4-FFF2-40B4-BE49-F238E27FC236}">
              <a16:creationId xmlns:a16="http://schemas.microsoft.com/office/drawing/2014/main" id="{3F20619B-C07A-23A5-AC3B-235217EE0C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81003" y="2081893"/>
          <a:ext cx="190500" cy="182880"/>
        </a:xfrm>
        <a:prstGeom prst="rect">
          <a:avLst/>
        </a:prstGeom>
      </xdr:spPr>
    </xdr:pic>
    <xdr:clientData/>
  </xdr:twoCellAnchor>
  <xdr:twoCellAnchor editAs="absolute">
    <xdr:from>
      <xdr:col>1</xdr:col>
      <xdr:colOff>158753</xdr:colOff>
      <xdr:row>12</xdr:row>
      <xdr:rowOff>150586</xdr:rowOff>
    </xdr:from>
    <xdr:to>
      <xdr:col>1</xdr:col>
      <xdr:colOff>361404</xdr:colOff>
      <xdr:row>13</xdr:row>
      <xdr:rowOff>149316</xdr:rowOff>
    </xdr:to>
    <xdr:pic>
      <xdr:nvPicPr>
        <xdr:cNvPr id="19" name="Graphic 18" descr="Advertising">
          <a:extLst>
            <a:ext uri="{FF2B5EF4-FFF2-40B4-BE49-F238E27FC236}">
              <a16:creationId xmlns:a16="http://schemas.microsoft.com/office/drawing/2014/main" id="{67D3E3AF-DF54-B088-41C8-414E0ADAEA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81003" y="2360386"/>
          <a:ext cx="202651" cy="182880"/>
        </a:xfrm>
        <a:prstGeom prst="rect">
          <a:avLst/>
        </a:prstGeom>
      </xdr:spPr>
    </xdr:pic>
    <xdr:clientData/>
  </xdr:twoCellAnchor>
  <xdr:twoCellAnchor editAs="absolute">
    <xdr:from>
      <xdr:col>1</xdr:col>
      <xdr:colOff>158753</xdr:colOff>
      <xdr:row>14</xdr:row>
      <xdr:rowOff>60779</xdr:rowOff>
    </xdr:from>
    <xdr:to>
      <xdr:col>1</xdr:col>
      <xdr:colOff>355014</xdr:colOff>
      <xdr:row>14</xdr:row>
      <xdr:rowOff>240938</xdr:rowOff>
    </xdr:to>
    <xdr:pic>
      <xdr:nvPicPr>
        <xdr:cNvPr id="21" name="Graphic 20" descr="Kiosk">
          <a:extLst>
            <a:ext uri="{FF2B5EF4-FFF2-40B4-BE49-F238E27FC236}">
              <a16:creationId xmlns:a16="http://schemas.microsoft.com/office/drawing/2014/main" id="{92B910E5-8C34-800D-EA7D-B02A218D1E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81003" y="2638879"/>
          <a:ext cx="196261" cy="182880"/>
        </a:xfrm>
        <a:prstGeom prst="rect">
          <a:avLst/>
        </a:prstGeom>
      </xdr:spPr>
    </xdr:pic>
    <xdr:clientData/>
  </xdr:twoCellAnchor>
  <xdr:twoCellAnchor editAs="absolute">
    <xdr:from>
      <xdr:col>1</xdr:col>
      <xdr:colOff>158753</xdr:colOff>
      <xdr:row>15</xdr:row>
      <xdr:rowOff>91622</xdr:rowOff>
    </xdr:from>
    <xdr:to>
      <xdr:col>1</xdr:col>
      <xdr:colOff>369966</xdr:colOff>
      <xdr:row>16</xdr:row>
      <xdr:rowOff>90352</xdr:rowOff>
    </xdr:to>
    <xdr:pic>
      <xdr:nvPicPr>
        <xdr:cNvPr id="23" name="Graphic 22" descr="Newspaper">
          <a:extLst>
            <a:ext uri="{FF2B5EF4-FFF2-40B4-BE49-F238E27FC236}">
              <a16:creationId xmlns:a16="http://schemas.microsoft.com/office/drawing/2014/main" id="{52525097-C599-C5C1-8F55-1B2382CCE8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81003" y="2917372"/>
          <a:ext cx="211213" cy="182880"/>
        </a:xfrm>
        <a:prstGeom prst="rect">
          <a:avLst/>
        </a:prstGeom>
      </xdr:spPr>
    </xdr:pic>
    <xdr:clientData/>
  </xdr:twoCellAnchor>
  <xdr:twoCellAnchor editAs="absolute">
    <xdr:from>
      <xdr:col>1</xdr:col>
      <xdr:colOff>158753</xdr:colOff>
      <xdr:row>17</xdr:row>
      <xdr:rowOff>1815</xdr:rowOff>
    </xdr:from>
    <xdr:to>
      <xdr:col>1</xdr:col>
      <xdr:colOff>377728</xdr:colOff>
      <xdr:row>18</xdr:row>
      <xdr:rowOff>545</xdr:rowOff>
    </xdr:to>
    <xdr:pic>
      <xdr:nvPicPr>
        <xdr:cNvPr id="25" name="Graphic 24" descr="Shopping bag">
          <a:extLst>
            <a:ext uri="{FF2B5EF4-FFF2-40B4-BE49-F238E27FC236}">
              <a16:creationId xmlns:a16="http://schemas.microsoft.com/office/drawing/2014/main" id="{B08F9FAF-F72D-7747-33E0-A846C73333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81003" y="3195865"/>
          <a:ext cx="218975" cy="182880"/>
        </a:xfrm>
        <a:prstGeom prst="rect">
          <a:avLst/>
        </a:prstGeom>
      </xdr:spPr>
    </xdr:pic>
    <xdr:clientData/>
  </xdr:twoCellAnchor>
  <xdr:twoCellAnchor editAs="absolute">
    <xdr:from>
      <xdr:col>1</xdr:col>
      <xdr:colOff>158753</xdr:colOff>
      <xdr:row>18</xdr:row>
      <xdr:rowOff>96158</xdr:rowOff>
    </xdr:from>
    <xdr:to>
      <xdr:col>1</xdr:col>
      <xdr:colOff>364782</xdr:colOff>
      <xdr:row>19</xdr:row>
      <xdr:rowOff>94888</xdr:rowOff>
    </xdr:to>
    <xdr:pic>
      <xdr:nvPicPr>
        <xdr:cNvPr id="27" name="Graphic 26" descr="Register">
          <a:extLst>
            <a:ext uri="{FF2B5EF4-FFF2-40B4-BE49-F238E27FC236}">
              <a16:creationId xmlns:a16="http://schemas.microsoft.com/office/drawing/2014/main" id="{79BE6697-A648-DF73-7962-C13663295D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81003" y="3474358"/>
          <a:ext cx="206029" cy="182880"/>
        </a:xfrm>
        <a:prstGeom prst="rect">
          <a:avLst/>
        </a:prstGeom>
      </xdr:spPr>
    </xdr:pic>
    <xdr:clientData/>
  </xdr:twoCellAnchor>
  <xdr:twoCellAnchor editAs="absolute">
    <xdr:from>
      <xdr:col>1</xdr:col>
      <xdr:colOff>158753</xdr:colOff>
      <xdr:row>20</xdr:row>
      <xdr:rowOff>6351</xdr:rowOff>
    </xdr:from>
    <xdr:to>
      <xdr:col>1</xdr:col>
      <xdr:colOff>382575</xdr:colOff>
      <xdr:row>21</xdr:row>
      <xdr:rowOff>5081</xdr:rowOff>
    </xdr:to>
    <xdr:pic>
      <xdr:nvPicPr>
        <xdr:cNvPr id="29" name="Graphic 28" descr="Checklist">
          <a:extLst>
            <a:ext uri="{FF2B5EF4-FFF2-40B4-BE49-F238E27FC236}">
              <a16:creationId xmlns:a16="http://schemas.microsoft.com/office/drawing/2014/main" id="{536C8FAF-209C-279A-ABBF-64669B088F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81003" y="3752851"/>
          <a:ext cx="223822" cy="182880"/>
        </a:xfrm>
        <a:prstGeom prst="rect">
          <a:avLst/>
        </a:prstGeom>
      </xdr:spPr>
    </xdr:pic>
    <xdr:clientData/>
  </xdr:twoCellAnchor>
  <xdr:twoCellAnchor editAs="absolute">
    <xdr:from>
      <xdr:col>3</xdr:col>
      <xdr:colOff>2721</xdr:colOff>
      <xdr:row>1</xdr:row>
      <xdr:rowOff>0</xdr:rowOff>
    </xdr:from>
    <xdr:to>
      <xdr:col>23</xdr:col>
      <xdr:colOff>14941</xdr:colOff>
      <xdr:row>5</xdr:row>
      <xdr:rowOff>156882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AE5BF7BA-73A6-5BBB-42D5-B28948610EDA}"/>
            </a:ext>
          </a:extLst>
        </xdr:cNvPr>
        <xdr:cNvSpPr/>
      </xdr:nvSpPr>
      <xdr:spPr>
        <a:xfrm>
          <a:off x="2136588" y="186765"/>
          <a:ext cx="12393706" cy="903941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IN" sz="2800" b="1"/>
            <a:t>   INVENTORY MANAGEMENT SYSTEM</a:t>
          </a:r>
        </a:p>
      </xdr:txBody>
    </xdr:sp>
    <xdr:clientData/>
  </xdr:twoCellAnchor>
  <xdr:twoCellAnchor editAs="absolute">
    <xdr:from>
      <xdr:col>3</xdr:col>
      <xdr:colOff>18143</xdr:colOff>
      <xdr:row>6</xdr:row>
      <xdr:rowOff>145142</xdr:rowOff>
    </xdr:from>
    <xdr:to>
      <xdr:col>5</xdr:col>
      <xdr:colOff>508000</xdr:colOff>
      <xdr:row>10</xdr:row>
      <xdr:rowOff>145141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67D4136-E08E-B8A0-51F5-0F43266F69F4}"/>
            </a:ext>
          </a:extLst>
        </xdr:cNvPr>
        <xdr:cNvSpPr/>
      </xdr:nvSpPr>
      <xdr:spPr>
        <a:xfrm>
          <a:off x="2149929" y="1233713"/>
          <a:ext cx="1705428" cy="725714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      </a:t>
          </a:r>
          <a:r>
            <a:rPr lang="en-IN" sz="1400" b="1"/>
            <a:t>Customers</a:t>
          </a:r>
        </a:p>
      </xdr:txBody>
    </xdr:sp>
    <xdr:clientData/>
  </xdr:twoCellAnchor>
  <xdr:twoCellAnchor editAs="absolute">
    <xdr:from>
      <xdr:col>3</xdr:col>
      <xdr:colOff>9072</xdr:colOff>
      <xdr:row>6</xdr:row>
      <xdr:rowOff>154214</xdr:rowOff>
    </xdr:from>
    <xdr:to>
      <xdr:col>3</xdr:col>
      <xdr:colOff>235856</xdr:colOff>
      <xdr:row>10</xdr:row>
      <xdr:rowOff>154213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38256381-F62D-D97E-B824-E59CFD9003A2}"/>
            </a:ext>
          </a:extLst>
        </xdr:cNvPr>
        <xdr:cNvSpPr/>
      </xdr:nvSpPr>
      <xdr:spPr>
        <a:xfrm>
          <a:off x="2140858" y="1242785"/>
          <a:ext cx="226784" cy="725714"/>
        </a:xfrm>
        <a:prstGeom prst="rect">
          <a:avLst/>
        </a:prstGeom>
        <a:solidFill>
          <a:schemeClr val="accent1"/>
        </a:solidFill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absolute">
    <xdr:from>
      <xdr:col>6</xdr:col>
      <xdr:colOff>264886</xdr:colOff>
      <xdr:row>6</xdr:row>
      <xdr:rowOff>163286</xdr:rowOff>
    </xdr:from>
    <xdr:to>
      <xdr:col>9</xdr:col>
      <xdr:colOff>146957</xdr:colOff>
      <xdr:row>10</xdr:row>
      <xdr:rowOff>163285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5F1771CD-D096-F149-8A14-076B15DDC335}"/>
            </a:ext>
          </a:extLst>
        </xdr:cNvPr>
        <xdr:cNvSpPr/>
      </xdr:nvSpPr>
      <xdr:spPr>
        <a:xfrm>
          <a:off x="4220029" y="1251857"/>
          <a:ext cx="1705428" cy="725714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      </a:t>
          </a:r>
          <a:r>
            <a:rPr lang="en-IN" sz="1400" b="1"/>
            <a:t>Products</a:t>
          </a:r>
        </a:p>
      </xdr:txBody>
    </xdr:sp>
    <xdr:clientData/>
  </xdr:twoCellAnchor>
  <xdr:twoCellAnchor editAs="absolute">
    <xdr:from>
      <xdr:col>6</xdr:col>
      <xdr:colOff>117929</xdr:colOff>
      <xdr:row>6</xdr:row>
      <xdr:rowOff>163286</xdr:rowOff>
    </xdr:from>
    <xdr:to>
      <xdr:col>6</xdr:col>
      <xdr:colOff>344713</xdr:colOff>
      <xdr:row>10</xdr:row>
      <xdr:rowOff>163285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69DA78D6-4CD4-14B2-C222-61BC5133F3C2}"/>
            </a:ext>
          </a:extLst>
        </xdr:cNvPr>
        <xdr:cNvSpPr/>
      </xdr:nvSpPr>
      <xdr:spPr>
        <a:xfrm>
          <a:off x="4073072" y="1251857"/>
          <a:ext cx="226784" cy="725714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absolute">
    <xdr:from>
      <xdr:col>13</xdr:col>
      <xdr:colOff>150586</xdr:colOff>
      <xdr:row>7</xdr:row>
      <xdr:rowOff>27214</xdr:rowOff>
    </xdr:from>
    <xdr:to>
      <xdr:col>15</xdr:col>
      <xdr:colOff>643845</xdr:colOff>
      <xdr:row>11</xdr:row>
      <xdr:rowOff>27214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CD64CCD0-5BC2-AF8B-10ED-97F5ADC5B780}"/>
            </a:ext>
          </a:extLst>
        </xdr:cNvPr>
        <xdr:cNvSpPr/>
      </xdr:nvSpPr>
      <xdr:spPr>
        <a:xfrm>
          <a:off x="8360229" y="1297214"/>
          <a:ext cx="1705428" cy="725714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      </a:t>
          </a:r>
          <a:r>
            <a:rPr lang="en-IN" sz="1400" b="1"/>
            <a:t>Sales Amt.</a:t>
          </a:r>
        </a:p>
      </xdr:txBody>
    </xdr:sp>
    <xdr:clientData/>
  </xdr:twoCellAnchor>
  <xdr:twoCellAnchor editAs="absolute">
    <xdr:from>
      <xdr:col>12</xdr:col>
      <xdr:colOff>598714</xdr:colOff>
      <xdr:row>7</xdr:row>
      <xdr:rowOff>27214</xdr:rowOff>
    </xdr:from>
    <xdr:to>
      <xdr:col>13</xdr:col>
      <xdr:colOff>217712</xdr:colOff>
      <xdr:row>11</xdr:row>
      <xdr:rowOff>27214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D2886E9C-3134-C63C-2646-B3BD44CD4888}"/>
            </a:ext>
          </a:extLst>
        </xdr:cNvPr>
        <xdr:cNvSpPr/>
      </xdr:nvSpPr>
      <xdr:spPr>
        <a:xfrm>
          <a:off x="8200571" y="1297214"/>
          <a:ext cx="226784" cy="725714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absolute">
    <xdr:from>
      <xdr:col>3</xdr:col>
      <xdr:colOff>326571</xdr:colOff>
      <xdr:row>8</xdr:row>
      <xdr:rowOff>72571</xdr:rowOff>
    </xdr:from>
    <xdr:to>
      <xdr:col>5</xdr:col>
      <xdr:colOff>399143</xdr:colOff>
      <xdr:row>10</xdr:row>
      <xdr:rowOff>108857</xdr:rowOff>
    </xdr:to>
    <xdr:sp macro="" textlink="Pivotes!C3">
      <xdr:nvSpPr>
        <xdr:cNvPr id="33" name="Rectangle 32">
          <a:extLst>
            <a:ext uri="{FF2B5EF4-FFF2-40B4-BE49-F238E27FC236}">
              <a16:creationId xmlns:a16="http://schemas.microsoft.com/office/drawing/2014/main" id="{C13517F0-03A3-63EC-6995-6BE96CA009B4}"/>
            </a:ext>
          </a:extLst>
        </xdr:cNvPr>
        <xdr:cNvSpPr/>
      </xdr:nvSpPr>
      <xdr:spPr>
        <a:xfrm>
          <a:off x="2458357" y="1524000"/>
          <a:ext cx="1288143" cy="399143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fld id="{B934B952-6AB3-4F0A-9E1C-506C58705188}" type="TxLink">
            <a:rPr lang="en-US" sz="14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8</a:t>
          </a:fld>
          <a:endParaRPr lang="en-IN" sz="1400" b="1"/>
        </a:p>
      </xdr:txBody>
    </xdr:sp>
    <xdr:clientData/>
  </xdr:twoCellAnchor>
  <xdr:twoCellAnchor editAs="absolute">
    <xdr:from>
      <xdr:col>6</xdr:col>
      <xdr:colOff>489857</xdr:colOff>
      <xdr:row>8</xdr:row>
      <xdr:rowOff>72571</xdr:rowOff>
    </xdr:from>
    <xdr:to>
      <xdr:col>8</xdr:col>
      <xdr:colOff>562429</xdr:colOff>
      <xdr:row>10</xdr:row>
      <xdr:rowOff>108857</xdr:rowOff>
    </xdr:to>
    <xdr:sp macro="" textlink="Pivotes!C6">
      <xdr:nvSpPr>
        <xdr:cNvPr id="34" name="Rectangle 33">
          <a:extLst>
            <a:ext uri="{FF2B5EF4-FFF2-40B4-BE49-F238E27FC236}">
              <a16:creationId xmlns:a16="http://schemas.microsoft.com/office/drawing/2014/main" id="{B60C6922-A5F0-3080-5920-A7064409C676}"/>
            </a:ext>
          </a:extLst>
        </xdr:cNvPr>
        <xdr:cNvSpPr/>
      </xdr:nvSpPr>
      <xdr:spPr>
        <a:xfrm>
          <a:off x="4445000" y="1524000"/>
          <a:ext cx="1288143" cy="399143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fld id="{D448FE13-F70C-4732-AF7B-BE2B3651AD80}" type="TxLink">
            <a:rPr lang="en-US" sz="14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16</a:t>
          </a:fld>
          <a:endParaRPr lang="en-IN" sz="1400" b="1"/>
        </a:p>
      </xdr:txBody>
    </xdr:sp>
    <xdr:clientData/>
  </xdr:twoCellAnchor>
  <xdr:twoCellAnchor editAs="absolute">
    <xdr:from>
      <xdr:col>9</xdr:col>
      <xdr:colOff>353786</xdr:colOff>
      <xdr:row>8</xdr:row>
      <xdr:rowOff>81642</xdr:rowOff>
    </xdr:from>
    <xdr:to>
      <xdr:col>11</xdr:col>
      <xdr:colOff>426358</xdr:colOff>
      <xdr:row>10</xdr:row>
      <xdr:rowOff>117928</xdr:rowOff>
    </xdr:to>
    <xdr:sp macro="" textlink="Pivotes!V21">
      <xdr:nvSpPr>
        <xdr:cNvPr id="35" name="Rectangle 34">
          <a:extLst>
            <a:ext uri="{FF2B5EF4-FFF2-40B4-BE49-F238E27FC236}">
              <a16:creationId xmlns:a16="http://schemas.microsoft.com/office/drawing/2014/main" id="{DD4090C7-049E-41F6-B71C-F17ACC98EB8A}"/>
            </a:ext>
          </a:extLst>
        </xdr:cNvPr>
        <xdr:cNvSpPr/>
      </xdr:nvSpPr>
      <xdr:spPr>
        <a:xfrm>
          <a:off x="6132286" y="1533071"/>
          <a:ext cx="1288143" cy="399143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fld id="{A8748273-D743-4A86-AA99-10CEB3FCA009}" type="TxLink">
            <a:rPr lang="en-US" sz="14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 </a:t>
          </a:fld>
          <a:endParaRPr lang="en-IN" sz="1400" b="1"/>
        </a:p>
      </xdr:txBody>
    </xdr:sp>
    <xdr:clientData/>
  </xdr:twoCellAnchor>
  <xdr:twoCellAnchor editAs="absolute">
    <xdr:from>
      <xdr:col>13</xdr:col>
      <xdr:colOff>362857</xdr:colOff>
      <xdr:row>8</xdr:row>
      <xdr:rowOff>117927</xdr:rowOff>
    </xdr:from>
    <xdr:to>
      <xdr:col>15</xdr:col>
      <xdr:colOff>435429</xdr:colOff>
      <xdr:row>10</xdr:row>
      <xdr:rowOff>154213</xdr:rowOff>
    </xdr:to>
    <xdr:sp macro="" textlink="Pivotes!C12">
      <xdr:nvSpPr>
        <xdr:cNvPr id="36" name="Rectangle 35">
          <a:extLst>
            <a:ext uri="{FF2B5EF4-FFF2-40B4-BE49-F238E27FC236}">
              <a16:creationId xmlns:a16="http://schemas.microsoft.com/office/drawing/2014/main" id="{65D934EE-0843-C904-10CC-5565B83E6B9D}"/>
            </a:ext>
          </a:extLst>
        </xdr:cNvPr>
        <xdr:cNvSpPr/>
      </xdr:nvSpPr>
      <xdr:spPr>
        <a:xfrm>
          <a:off x="8572500" y="1569356"/>
          <a:ext cx="1288143" cy="399143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fld id="{8EFC8D1A-6DAB-4C7D-A2E4-8BC8CDE6F5CD}" type="TxLink">
            <a:rPr lang="en-US" sz="14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₹2,627,490.00</a:t>
          </a:fld>
          <a:endParaRPr lang="en-IN" sz="1400" b="1"/>
        </a:p>
      </xdr:txBody>
    </xdr:sp>
    <xdr:clientData/>
  </xdr:twoCellAnchor>
  <xdr:twoCellAnchor editAs="absolute">
    <xdr:from>
      <xdr:col>19</xdr:col>
      <xdr:colOff>290284</xdr:colOff>
      <xdr:row>7</xdr:row>
      <xdr:rowOff>18143</xdr:rowOff>
    </xdr:from>
    <xdr:to>
      <xdr:col>23</xdr:col>
      <xdr:colOff>18141</xdr:colOff>
      <xdr:row>11</xdr:row>
      <xdr:rowOff>18143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B83D6ED3-614C-445E-F246-9E10535AB751}"/>
            </a:ext>
          </a:extLst>
        </xdr:cNvPr>
        <xdr:cNvSpPr/>
      </xdr:nvSpPr>
      <xdr:spPr>
        <a:xfrm>
          <a:off x="12500427" y="1288143"/>
          <a:ext cx="1705428" cy="725714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          </a:t>
          </a:r>
          <a:r>
            <a:rPr lang="en-IN" sz="1400" b="1"/>
            <a:t>Profit</a:t>
          </a:r>
          <a:r>
            <a:rPr lang="en-IN" sz="1400" b="1" baseline="0"/>
            <a:t> / Loss</a:t>
          </a:r>
          <a:endParaRPr lang="en-IN" sz="1400" b="1"/>
        </a:p>
      </xdr:txBody>
    </xdr:sp>
    <xdr:clientData/>
  </xdr:twoCellAnchor>
  <xdr:twoCellAnchor editAs="absolute">
    <xdr:from>
      <xdr:col>19</xdr:col>
      <xdr:colOff>232454</xdr:colOff>
      <xdr:row>7</xdr:row>
      <xdr:rowOff>18144</xdr:rowOff>
    </xdr:from>
    <xdr:to>
      <xdr:col>19</xdr:col>
      <xdr:colOff>462640</xdr:colOff>
      <xdr:row>11</xdr:row>
      <xdr:rowOff>18144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4471BE5D-CCBB-A717-A4F7-A7E50570550B}"/>
            </a:ext>
          </a:extLst>
        </xdr:cNvPr>
        <xdr:cNvSpPr/>
      </xdr:nvSpPr>
      <xdr:spPr>
        <a:xfrm>
          <a:off x="12445999" y="1288144"/>
          <a:ext cx="226784" cy="72571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absolute">
    <xdr:from>
      <xdr:col>20</xdr:col>
      <xdr:colOff>14741</xdr:colOff>
      <xdr:row>8</xdr:row>
      <xdr:rowOff>99785</xdr:rowOff>
    </xdr:from>
    <xdr:to>
      <xdr:col>22</xdr:col>
      <xdr:colOff>428625</xdr:colOff>
      <xdr:row>10</xdr:row>
      <xdr:rowOff>136071</xdr:rowOff>
    </xdr:to>
    <xdr:sp macro="" textlink="Pivotes!C19">
      <xdr:nvSpPr>
        <xdr:cNvPr id="43" name="Rectangle 42">
          <a:extLst>
            <a:ext uri="{FF2B5EF4-FFF2-40B4-BE49-F238E27FC236}">
              <a16:creationId xmlns:a16="http://schemas.microsoft.com/office/drawing/2014/main" id="{F97ABD72-FD3B-1856-BB29-5502838A246C}"/>
            </a:ext>
          </a:extLst>
        </xdr:cNvPr>
        <xdr:cNvSpPr/>
      </xdr:nvSpPr>
      <xdr:spPr>
        <a:xfrm>
          <a:off x="12836071" y="1551214"/>
          <a:ext cx="1288143" cy="399143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fld id="{0B454CB1-5EBD-4D95-8A44-D0563F5A11FD}" type="TxLink">
            <a:rPr lang="en-US" sz="14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₹187,915.00</a:t>
          </a:fld>
          <a:endParaRPr lang="en-IN" sz="1400" b="1"/>
        </a:p>
      </xdr:txBody>
    </xdr:sp>
    <xdr:clientData/>
  </xdr:twoCellAnchor>
  <xdr:twoCellAnchor editAs="absolute">
    <xdr:from>
      <xdr:col>16</xdr:col>
      <xdr:colOff>40142</xdr:colOff>
      <xdr:row>7</xdr:row>
      <xdr:rowOff>18143</xdr:rowOff>
    </xdr:from>
    <xdr:to>
      <xdr:col>18</xdr:col>
      <xdr:colOff>533400</xdr:colOff>
      <xdr:row>11</xdr:row>
      <xdr:rowOff>18143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22981E7A-2220-577A-6116-47943343A35E}"/>
            </a:ext>
          </a:extLst>
        </xdr:cNvPr>
        <xdr:cNvSpPr/>
      </xdr:nvSpPr>
      <xdr:spPr>
        <a:xfrm>
          <a:off x="10430329" y="1288143"/>
          <a:ext cx="1705428" cy="725714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         </a:t>
          </a:r>
          <a:r>
            <a:rPr lang="en-IN" sz="1400" b="1"/>
            <a:t>Stock Amt.</a:t>
          </a:r>
        </a:p>
      </xdr:txBody>
    </xdr:sp>
    <xdr:clientData/>
  </xdr:twoCellAnchor>
  <xdr:twoCellAnchor editAs="absolute">
    <xdr:from>
      <xdr:col>16</xdr:col>
      <xdr:colOff>5670</xdr:colOff>
      <xdr:row>7</xdr:row>
      <xdr:rowOff>18143</xdr:rowOff>
    </xdr:from>
    <xdr:to>
      <xdr:col>16</xdr:col>
      <xdr:colOff>232454</xdr:colOff>
      <xdr:row>11</xdr:row>
      <xdr:rowOff>18143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28937D85-4FA1-0822-196E-2E5545B3AB4B}"/>
            </a:ext>
          </a:extLst>
        </xdr:cNvPr>
        <xdr:cNvSpPr/>
      </xdr:nvSpPr>
      <xdr:spPr>
        <a:xfrm>
          <a:off x="10395857" y="1288143"/>
          <a:ext cx="226784" cy="725714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absolute">
    <xdr:from>
      <xdr:col>16</xdr:col>
      <xdr:colOff>335643</xdr:colOff>
      <xdr:row>8</xdr:row>
      <xdr:rowOff>99785</xdr:rowOff>
    </xdr:from>
    <xdr:to>
      <xdr:col>18</xdr:col>
      <xdr:colOff>408215</xdr:colOff>
      <xdr:row>10</xdr:row>
      <xdr:rowOff>136071</xdr:rowOff>
    </xdr:to>
    <xdr:sp macro="" textlink="Pivotes!C15">
      <xdr:nvSpPr>
        <xdr:cNvPr id="46" name="Rectangle 45">
          <a:extLst>
            <a:ext uri="{FF2B5EF4-FFF2-40B4-BE49-F238E27FC236}">
              <a16:creationId xmlns:a16="http://schemas.microsoft.com/office/drawing/2014/main" id="{9B60D1F8-8679-5664-6DAA-11069551C1E3}"/>
            </a:ext>
          </a:extLst>
        </xdr:cNvPr>
        <xdr:cNvSpPr/>
      </xdr:nvSpPr>
      <xdr:spPr>
        <a:xfrm>
          <a:off x="10722429" y="1551214"/>
          <a:ext cx="1288143" cy="399143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fld id="{644992B2-B4E6-473E-99F1-1C899051DAFB}" type="TxLink">
            <a:rPr lang="en-US" sz="14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₹5,134,299.00</a:t>
          </a:fld>
          <a:endParaRPr lang="en-IN" sz="1400" b="1"/>
        </a:p>
      </xdr:txBody>
    </xdr:sp>
    <xdr:clientData/>
  </xdr:twoCellAnchor>
  <xdr:twoCellAnchor editAs="absolute">
    <xdr:from>
      <xdr:col>9</xdr:col>
      <xdr:colOff>511629</xdr:colOff>
      <xdr:row>7</xdr:row>
      <xdr:rowOff>18142</xdr:rowOff>
    </xdr:from>
    <xdr:to>
      <xdr:col>12</xdr:col>
      <xdr:colOff>393700</xdr:colOff>
      <xdr:row>11</xdr:row>
      <xdr:rowOff>18142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DF8287EA-049A-8D4F-3677-BEAFFBDD0FAB}"/>
            </a:ext>
          </a:extLst>
        </xdr:cNvPr>
        <xdr:cNvSpPr/>
      </xdr:nvSpPr>
      <xdr:spPr>
        <a:xfrm>
          <a:off x="6290129" y="1288142"/>
          <a:ext cx="1705428" cy="725714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      </a:t>
          </a:r>
          <a:r>
            <a:rPr lang="en-IN" sz="1400" b="1"/>
            <a:t>Purchase Amt.</a:t>
          </a:r>
        </a:p>
      </xdr:txBody>
    </xdr:sp>
    <xdr:clientData/>
  </xdr:twoCellAnchor>
  <xdr:twoCellAnchor editAs="absolute">
    <xdr:from>
      <xdr:col>9</xdr:col>
      <xdr:colOff>344715</xdr:colOff>
      <xdr:row>7</xdr:row>
      <xdr:rowOff>18142</xdr:rowOff>
    </xdr:from>
    <xdr:to>
      <xdr:col>9</xdr:col>
      <xdr:colOff>571499</xdr:colOff>
      <xdr:row>11</xdr:row>
      <xdr:rowOff>18142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D89D2C42-C9C0-1C1F-C596-A82B8A9740E7}"/>
            </a:ext>
          </a:extLst>
        </xdr:cNvPr>
        <xdr:cNvSpPr/>
      </xdr:nvSpPr>
      <xdr:spPr>
        <a:xfrm>
          <a:off x="6123215" y="1288142"/>
          <a:ext cx="226784" cy="725714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absolute">
    <xdr:from>
      <xdr:col>10</xdr:col>
      <xdr:colOff>108857</xdr:colOff>
      <xdr:row>8</xdr:row>
      <xdr:rowOff>108856</xdr:rowOff>
    </xdr:from>
    <xdr:to>
      <xdr:col>12</xdr:col>
      <xdr:colOff>181429</xdr:colOff>
      <xdr:row>10</xdr:row>
      <xdr:rowOff>145142</xdr:rowOff>
    </xdr:to>
    <xdr:sp macro="" textlink="Pivotes!V21">
      <xdr:nvSpPr>
        <xdr:cNvPr id="49" name="Rectangle 48">
          <a:extLst>
            <a:ext uri="{FF2B5EF4-FFF2-40B4-BE49-F238E27FC236}">
              <a16:creationId xmlns:a16="http://schemas.microsoft.com/office/drawing/2014/main" id="{EC40771F-AFA9-75FC-7D0E-FA1221D1F3F7}"/>
            </a:ext>
          </a:extLst>
        </xdr:cNvPr>
        <xdr:cNvSpPr/>
      </xdr:nvSpPr>
      <xdr:spPr>
        <a:xfrm>
          <a:off x="6495143" y="1560285"/>
          <a:ext cx="1288143" cy="399143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fld id="{A8748273-D743-4A86-AA99-10CEB3FCA009}" type="TxLink">
            <a:rPr lang="en-US" sz="14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 </a:t>
          </a:fld>
          <a:endParaRPr lang="en-IN" sz="1400" b="1"/>
        </a:p>
      </xdr:txBody>
    </xdr:sp>
    <xdr:clientData/>
  </xdr:twoCellAnchor>
  <xdr:twoCellAnchor>
    <xdr:from>
      <xdr:col>2</xdr:col>
      <xdr:colOff>333373</xdr:colOff>
      <xdr:row>12</xdr:row>
      <xdr:rowOff>150812</xdr:rowOff>
    </xdr:from>
    <xdr:to>
      <xdr:col>8</xdr:col>
      <xdr:colOff>198436</xdr:colOff>
      <xdr:row>22</xdr:row>
      <xdr:rowOff>119063</xdr:rowOff>
    </xdr:to>
    <xdr:graphicFrame macro="">
      <xdr:nvGraphicFramePr>
        <xdr:cNvPr id="57" name="Chart 56">
          <a:extLst>
            <a:ext uri="{FF2B5EF4-FFF2-40B4-BE49-F238E27FC236}">
              <a16:creationId xmlns:a16="http://schemas.microsoft.com/office/drawing/2014/main" id="{BD88AD1A-9B63-4FF4-90F0-EF8825C4D4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9</xdr:col>
      <xdr:colOff>333375</xdr:colOff>
      <xdr:row>13</xdr:row>
      <xdr:rowOff>0</xdr:rowOff>
    </xdr:from>
    <xdr:to>
      <xdr:col>15</xdr:col>
      <xdr:colOff>690563</xdr:colOff>
      <xdr:row>22</xdr:row>
      <xdr:rowOff>127000</xdr:rowOff>
    </xdr:to>
    <xdr:graphicFrame macro="">
      <xdr:nvGraphicFramePr>
        <xdr:cNvPr id="58" name="Chart 57">
          <a:extLst>
            <a:ext uri="{FF2B5EF4-FFF2-40B4-BE49-F238E27FC236}">
              <a16:creationId xmlns:a16="http://schemas.microsoft.com/office/drawing/2014/main" id="{D02A139F-BF35-4584-9005-1637A60838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2</xdr:col>
      <xdr:colOff>349249</xdr:colOff>
      <xdr:row>23</xdr:row>
      <xdr:rowOff>134937</xdr:rowOff>
    </xdr:from>
    <xdr:to>
      <xdr:col>15</xdr:col>
      <xdr:colOff>706438</xdr:colOff>
      <xdr:row>37</xdr:row>
      <xdr:rowOff>174625</xdr:rowOff>
    </xdr:to>
    <xdr:graphicFrame macro="">
      <xdr:nvGraphicFramePr>
        <xdr:cNvPr id="59" name="Chart 58">
          <a:extLst>
            <a:ext uri="{FF2B5EF4-FFF2-40B4-BE49-F238E27FC236}">
              <a16:creationId xmlns:a16="http://schemas.microsoft.com/office/drawing/2014/main" id="{509FADAD-6B9B-4B62-BD00-C9ACAF7C56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340145</xdr:colOff>
      <xdr:row>1</xdr:row>
      <xdr:rowOff>124124</xdr:rowOff>
    </xdr:from>
    <xdr:to>
      <xdr:col>1</xdr:col>
      <xdr:colOff>1254545</xdr:colOff>
      <xdr:row>6</xdr:row>
      <xdr:rowOff>117774</xdr:rowOff>
    </xdr:to>
    <xdr:pic>
      <xdr:nvPicPr>
        <xdr:cNvPr id="2" name="Graphic 1" descr="Bar chart">
          <a:extLst>
            <a:ext uri="{FF2B5EF4-FFF2-40B4-BE49-F238E27FC236}">
              <a16:creationId xmlns:a16="http://schemas.microsoft.com/office/drawing/2014/main" id="{8B2FC12A-D398-4AFB-953F-439CAB630F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62395" y="308274"/>
          <a:ext cx="914400" cy="914400"/>
        </a:xfrm>
        <a:prstGeom prst="rect">
          <a:avLst/>
        </a:prstGeom>
      </xdr:spPr>
    </xdr:pic>
    <xdr:clientData/>
  </xdr:twoCellAnchor>
  <xdr:twoCellAnchor>
    <xdr:from>
      <xdr:col>1</xdr:col>
      <xdr:colOff>6350</xdr:colOff>
      <xdr:row>7</xdr:row>
      <xdr:rowOff>50800</xdr:rowOff>
    </xdr:from>
    <xdr:to>
      <xdr:col>1</xdr:col>
      <xdr:colOff>1494117</xdr:colOff>
      <xdr:row>9</xdr:row>
      <xdr:rowOff>177800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B9F9D4A5-4CC9-4B12-9594-C0F206914E83}"/>
            </a:ext>
          </a:extLst>
        </xdr:cNvPr>
        <xdr:cNvSpPr/>
      </xdr:nvSpPr>
      <xdr:spPr>
        <a:xfrm>
          <a:off x="228600" y="1339850"/>
          <a:ext cx="1487767" cy="495300"/>
        </a:xfrm>
        <a:prstGeom prst="rect">
          <a:avLst/>
        </a:prstGeom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950" b="1"/>
            <a:t>INVENTORY MANAGEMENT SYSTEM</a:t>
          </a:r>
        </a:p>
      </xdr:txBody>
    </xdr:sp>
    <xdr:clientData/>
  </xdr:twoCellAnchor>
  <xdr:twoCellAnchor editAs="absolute">
    <xdr:from>
      <xdr:col>1</xdr:col>
      <xdr:colOff>654050</xdr:colOff>
      <xdr:row>10</xdr:row>
      <xdr:rowOff>19163</xdr:rowOff>
    </xdr:from>
    <xdr:to>
      <xdr:col>1</xdr:col>
      <xdr:colOff>1533071</xdr:colOff>
      <xdr:row>11</xdr:row>
      <xdr:rowOff>41842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6DDA924-0534-4484-A47F-B7A25A19C30B}"/>
            </a:ext>
          </a:extLst>
        </xdr:cNvPr>
        <xdr:cNvSpPr/>
      </xdr:nvSpPr>
      <xdr:spPr>
        <a:xfrm>
          <a:off x="876300" y="2031206"/>
          <a:ext cx="876300" cy="2667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200" b="1">
              <a:solidFill>
                <a:schemeClr val="tx1"/>
              </a:solidFill>
            </a:rPr>
            <a:t>Customers</a:t>
          </a:r>
        </a:p>
      </xdr:txBody>
    </xdr:sp>
    <xdr:clientData/>
  </xdr:twoCellAnchor>
  <xdr:twoCellAnchor editAs="absolute">
    <xdr:from>
      <xdr:col>1</xdr:col>
      <xdr:colOff>654050</xdr:colOff>
      <xdr:row>11</xdr:row>
      <xdr:rowOff>47398</xdr:rowOff>
    </xdr:from>
    <xdr:to>
      <xdr:col>1</xdr:col>
      <xdr:colOff>1533071</xdr:colOff>
      <xdr:row>12</xdr:row>
      <xdr:rowOff>70077</xdr:rowOff>
    </xdr:to>
    <xdr:sp macro="" textlink="">
      <xdr:nvSpPr>
        <xdr:cNvPr id="5" name="Rectangle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C379B3F-743F-4751-8C61-CF01DA719FD1}"/>
            </a:ext>
          </a:extLst>
        </xdr:cNvPr>
        <xdr:cNvSpPr/>
      </xdr:nvSpPr>
      <xdr:spPr>
        <a:xfrm>
          <a:off x="876300" y="2303462"/>
          <a:ext cx="876300" cy="2667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200" b="1">
              <a:solidFill>
                <a:schemeClr val="bg2">
                  <a:lumMod val="50000"/>
                </a:schemeClr>
              </a:solidFill>
            </a:rPr>
            <a:t>Products</a:t>
          </a:r>
        </a:p>
      </xdr:txBody>
    </xdr:sp>
    <xdr:clientData/>
  </xdr:twoCellAnchor>
  <xdr:twoCellAnchor editAs="absolute">
    <xdr:from>
      <xdr:col>1</xdr:col>
      <xdr:colOff>654050</xdr:colOff>
      <xdr:row>12</xdr:row>
      <xdr:rowOff>75633</xdr:rowOff>
    </xdr:from>
    <xdr:to>
      <xdr:col>1</xdr:col>
      <xdr:colOff>1533071</xdr:colOff>
      <xdr:row>13</xdr:row>
      <xdr:rowOff>98311</xdr:rowOff>
    </xdr:to>
    <xdr:sp macro="" textlink="">
      <xdr:nvSpPr>
        <xdr:cNvPr id="6" name="Rectangle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68A60E9-7B9F-4F8F-8CB1-96EC0C052E1F}"/>
            </a:ext>
          </a:extLst>
        </xdr:cNvPr>
        <xdr:cNvSpPr/>
      </xdr:nvSpPr>
      <xdr:spPr>
        <a:xfrm>
          <a:off x="876300" y="2575718"/>
          <a:ext cx="876300" cy="2667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200" b="1">
              <a:solidFill>
                <a:schemeClr val="bg2">
                  <a:lumMod val="50000"/>
                </a:schemeClr>
              </a:solidFill>
            </a:rPr>
            <a:t>Vendors</a:t>
          </a:r>
        </a:p>
        <a:p>
          <a:pPr algn="l"/>
          <a:endParaRPr lang="en-IN" sz="1200" b="1">
            <a:solidFill>
              <a:schemeClr val="bg2">
                <a:lumMod val="50000"/>
              </a:schemeClr>
            </a:solidFill>
          </a:endParaRPr>
        </a:p>
      </xdr:txBody>
    </xdr:sp>
    <xdr:clientData/>
  </xdr:twoCellAnchor>
  <xdr:twoCellAnchor editAs="absolute">
    <xdr:from>
      <xdr:col>1</xdr:col>
      <xdr:colOff>654050</xdr:colOff>
      <xdr:row>13</xdr:row>
      <xdr:rowOff>103867</xdr:rowOff>
    </xdr:from>
    <xdr:to>
      <xdr:col>1</xdr:col>
      <xdr:colOff>1533071</xdr:colOff>
      <xdr:row>14</xdr:row>
      <xdr:rowOff>126545</xdr:rowOff>
    </xdr:to>
    <xdr:sp macro="" textlink="">
      <xdr:nvSpPr>
        <xdr:cNvPr id="7" name="Rectangle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4C816D33-3A63-4452-8EE2-A162AC51B3A2}"/>
            </a:ext>
          </a:extLst>
        </xdr:cNvPr>
        <xdr:cNvSpPr/>
      </xdr:nvSpPr>
      <xdr:spPr>
        <a:xfrm>
          <a:off x="876300" y="2847974"/>
          <a:ext cx="876300" cy="2667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200" b="1">
              <a:solidFill>
                <a:schemeClr val="bg2">
                  <a:lumMod val="50000"/>
                </a:schemeClr>
              </a:solidFill>
            </a:rPr>
            <a:t>New Entry</a:t>
          </a:r>
        </a:p>
      </xdr:txBody>
    </xdr:sp>
    <xdr:clientData/>
  </xdr:twoCellAnchor>
  <xdr:twoCellAnchor editAs="absolute">
    <xdr:from>
      <xdr:col>1</xdr:col>
      <xdr:colOff>654050</xdr:colOff>
      <xdr:row>14</xdr:row>
      <xdr:rowOff>132101</xdr:rowOff>
    </xdr:from>
    <xdr:to>
      <xdr:col>1</xdr:col>
      <xdr:colOff>1533071</xdr:colOff>
      <xdr:row>15</xdr:row>
      <xdr:rowOff>152059</xdr:rowOff>
    </xdr:to>
    <xdr:sp macro="" textlink="">
      <xdr:nvSpPr>
        <xdr:cNvPr id="8" name="Rectangle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9DA46352-9138-4508-8294-57D565238ECC}"/>
            </a:ext>
          </a:extLst>
        </xdr:cNvPr>
        <xdr:cNvSpPr/>
      </xdr:nvSpPr>
      <xdr:spPr>
        <a:xfrm>
          <a:off x="876300" y="3120230"/>
          <a:ext cx="876300" cy="2667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200" b="1">
              <a:solidFill>
                <a:schemeClr val="bg2">
                  <a:lumMod val="50000"/>
                </a:schemeClr>
              </a:solidFill>
            </a:rPr>
            <a:t>Purchase</a:t>
          </a:r>
        </a:p>
      </xdr:txBody>
    </xdr:sp>
    <xdr:clientData/>
  </xdr:twoCellAnchor>
  <xdr:twoCellAnchor editAs="absolute">
    <xdr:from>
      <xdr:col>1</xdr:col>
      <xdr:colOff>654050</xdr:colOff>
      <xdr:row>15</xdr:row>
      <xdr:rowOff>157615</xdr:rowOff>
    </xdr:from>
    <xdr:to>
      <xdr:col>1</xdr:col>
      <xdr:colOff>1533071</xdr:colOff>
      <xdr:row>16</xdr:row>
      <xdr:rowOff>176664</xdr:rowOff>
    </xdr:to>
    <xdr:sp macro="" textlink="">
      <xdr:nvSpPr>
        <xdr:cNvPr id="9" name="Rectangle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CCCD852F-95B5-485A-8A56-69C213F9ECAD}"/>
            </a:ext>
          </a:extLst>
        </xdr:cNvPr>
        <xdr:cNvSpPr/>
      </xdr:nvSpPr>
      <xdr:spPr>
        <a:xfrm>
          <a:off x="876300" y="3392486"/>
          <a:ext cx="876300" cy="2667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200" b="1">
              <a:solidFill>
                <a:schemeClr val="bg2">
                  <a:lumMod val="50000"/>
                </a:schemeClr>
              </a:solidFill>
            </a:rPr>
            <a:t>Sales</a:t>
          </a:r>
        </a:p>
        <a:p>
          <a:pPr algn="l"/>
          <a:endParaRPr lang="en-IN" sz="1200" b="1">
            <a:solidFill>
              <a:schemeClr val="bg2">
                <a:lumMod val="50000"/>
              </a:schemeClr>
            </a:solidFill>
          </a:endParaRPr>
        </a:p>
      </xdr:txBody>
    </xdr:sp>
    <xdr:clientData/>
  </xdr:twoCellAnchor>
  <xdr:twoCellAnchor editAs="absolute">
    <xdr:from>
      <xdr:col>1</xdr:col>
      <xdr:colOff>654050</xdr:colOff>
      <xdr:row>17</xdr:row>
      <xdr:rowOff>792</xdr:rowOff>
    </xdr:from>
    <xdr:to>
      <xdr:col>1</xdr:col>
      <xdr:colOff>1533071</xdr:colOff>
      <xdr:row>18</xdr:row>
      <xdr:rowOff>80620</xdr:rowOff>
    </xdr:to>
    <xdr:sp macro="" textlink="">
      <xdr:nvSpPr>
        <xdr:cNvPr id="10" name="Rectangle 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C8BA251-4ADD-4710-8D84-C80A3C3CD0B8}"/>
            </a:ext>
          </a:extLst>
        </xdr:cNvPr>
        <xdr:cNvSpPr/>
      </xdr:nvSpPr>
      <xdr:spPr>
        <a:xfrm>
          <a:off x="876300" y="3664742"/>
          <a:ext cx="876300" cy="2667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200" b="1">
              <a:solidFill>
                <a:schemeClr val="bg2">
                  <a:lumMod val="50000"/>
                </a:schemeClr>
              </a:solidFill>
            </a:rPr>
            <a:t>Inventory</a:t>
          </a:r>
        </a:p>
      </xdr:txBody>
    </xdr:sp>
    <xdr:clientData/>
  </xdr:twoCellAnchor>
  <xdr:twoCellAnchor editAs="absolute">
    <xdr:from>
      <xdr:col>1</xdr:col>
      <xdr:colOff>654050</xdr:colOff>
      <xdr:row>8</xdr:row>
      <xdr:rowOff>235857</xdr:rowOff>
    </xdr:from>
    <xdr:to>
      <xdr:col>1</xdr:col>
      <xdr:colOff>1533071</xdr:colOff>
      <xdr:row>10</xdr:row>
      <xdr:rowOff>13607</xdr:rowOff>
    </xdr:to>
    <xdr:sp macro="" textlink="">
      <xdr:nvSpPr>
        <xdr:cNvPr id="11" name="Rectangle 1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1CD6A42D-0F3B-4507-9FE9-86EEF1C1578C}"/>
            </a:ext>
          </a:extLst>
        </xdr:cNvPr>
        <xdr:cNvSpPr/>
      </xdr:nvSpPr>
      <xdr:spPr>
        <a:xfrm>
          <a:off x="876300" y="1758950"/>
          <a:ext cx="876300" cy="2667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200" b="1">
              <a:solidFill>
                <a:schemeClr val="bg2">
                  <a:lumMod val="50000"/>
                </a:schemeClr>
              </a:solidFill>
            </a:rPr>
            <a:t>Dashboard</a:t>
          </a:r>
        </a:p>
        <a:p>
          <a:pPr algn="l"/>
          <a:endParaRPr lang="en-IN" sz="1200" b="1">
            <a:solidFill>
              <a:schemeClr val="bg2">
                <a:lumMod val="50000"/>
              </a:schemeClr>
            </a:solidFill>
          </a:endParaRPr>
        </a:p>
      </xdr:txBody>
    </xdr:sp>
    <xdr:clientData/>
  </xdr:twoCellAnchor>
  <xdr:twoCellAnchor editAs="absolute">
    <xdr:from>
      <xdr:col>1</xdr:col>
      <xdr:colOff>158753</xdr:colOff>
      <xdr:row>9</xdr:row>
      <xdr:rowOff>35378</xdr:rowOff>
    </xdr:from>
    <xdr:to>
      <xdr:col>1</xdr:col>
      <xdr:colOff>351092</xdr:colOff>
      <xdr:row>9</xdr:row>
      <xdr:rowOff>218258</xdr:rowOff>
    </xdr:to>
    <xdr:pic>
      <xdr:nvPicPr>
        <xdr:cNvPr id="12" name="Graphic 11" descr="Gauge">
          <a:extLst>
            <a:ext uri="{FF2B5EF4-FFF2-40B4-BE49-F238E27FC236}">
              <a16:creationId xmlns:a16="http://schemas.microsoft.com/office/drawing/2014/main" id="{A3967465-786E-4AD2-890A-6FFD696B23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81003" y="1905000"/>
          <a:ext cx="192339" cy="182880"/>
        </a:xfrm>
        <a:prstGeom prst="rect">
          <a:avLst/>
        </a:prstGeom>
      </xdr:spPr>
    </xdr:pic>
    <xdr:clientData/>
  </xdr:twoCellAnchor>
  <xdr:twoCellAnchor editAs="absolute">
    <xdr:from>
      <xdr:col>1</xdr:col>
      <xdr:colOff>158753</xdr:colOff>
      <xdr:row>10</xdr:row>
      <xdr:rowOff>69850</xdr:rowOff>
    </xdr:from>
    <xdr:to>
      <xdr:col>1</xdr:col>
      <xdr:colOff>349253</xdr:colOff>
      <xdr:row>11</xdr:row>
      <xdr:rowOff>8709</xdr:rowOff>
    </xdr:to>
    <xdr:pic>
      <xdr:nvPicPr>
        <xdr:cNvPr id="13" name="Graphic 12" descr="Target Audience">
          <a:extLst>
            <a:ext uri="{FF2B5EF4-FFF2-40B4-BE49-F238E27FC236}">
              <a16:creationId xmlns:a16="http://schemas.microsoft.com/office/drawing/2014/main" id="{A4EC0E85-C2DB-480B-82EF-F837818586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81003" y="2081893"/>
          <a:ext cx="190500" cy="182880"/>
        </a:xfrm>
        <a:prstGeom prst="rect">
          <a:avLst/>
        </a:prstGeom>
      </xdr:spPr>
    </xdr:pic>
    <xdr:clientData/>
  </xdr:twoCellAnchor>
  <xdr:twoCellAnchor editAs="absolute">
    <xdr:from>
      <xdr:col>1</xdr:col>
      <xdr:colOff>158753</xdr:colOff>
      <xdr:row>11</xdr:row>
      <xdr:rowOff>104322</xdr:rowOff>
    </xdr:from>
    <xdr:to>
      <xdr:col>1</xdr:col>
      <xdr:colOff>361404</xdr:colOff>
      <xdr:row>12</xdr:row>
      <xdr:rowOff>43181</xdr:rowOff>
    </xdr:to>
    <xdr:pic>
      <xdr:nvPicPr>
        <xdr:cNvPr id="14" name="Graphic 13" descr="Advertising">
          <a:extLst>
            <a:ext uri="{FF2B5EF4-FFF2-40B4-BE49-F238E27FC236}">
              <a16:creationId xmlns:a16="http://schemas.microsoft.com/office/drawing/2014/main" id="{E1F9FAE1-E085-4097-AC46-44C683CB23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81003" y="2360386"/>
          <a:ext cx="202651" cy="182880"/>
        </a:xfrm>
        <a:prstGeom prst="rect">
          <a:avLst/>
        </a:prstGeom>
      </xdr:spPr>
    </xdr:pic>
    <xdr:clientData/>
  </xdr:twoCellAnchor>
  <xdr:twoCellAnchor editAs="absolute">
    <xdr:from>
      <xdr:col>1</xdr:col>
      <xdr:colOff>158753</xdr:colOff>
      <xdr:row>12</xdr:row>
      <xdr:rowOff>138794</xdr:rowOff>
    </xdr:from>
    <xdr:to>
      <xdr:col>1</xdr:col>
      <xdr:colOff>355014</xdr:colOff>
      <xdr:row>13</xdr:row>
      <xdr:rowOff>77652</xdr:rowOff>
    </xdr:to>
    <xdr:pic>
      <xdr:nvPicPr>
        <xdr:cNvPr id="15" name="Graphic 14" descr="Kiosk">
          <a:extLst>
            <a:ext uri="{FF2B5EF4-FFF2-40B4-BE49-F238E27FC236}">
              <a16:creationId xmlns:a16="http://schemas.microsoft.com/office/drawing/2014/main" id="{50C727D7-9248-43B8-A7E0-214E8B34AC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81003" y="2638879"/>
          <a:ext cx="196261" cy="182880"/>
        </a:xfrm>
        <a:prstGeom prst="rect">
          <a:avLst/>
        </a:prstGeom>
      </xdr:spPr>
    </xdr:pic>
    <xdr:clientData/>
  </xdr:twoCellAnchor>
  <xdr:twoCellAnchor editAs="absolute">
    <xdr:from>
      <xdr:col>1</xdr:col>
      <xdr:colOff>158753</xdr:colOff>
      <xdr:row>13</xdr:row>
      <xdr:rowOff>173265</xdr:rowOff>
    </xdr:from>
    <xdr:to>
      <xdr:col>1</xdr:col>
      <xdr:colOff>369966</xdr:colOff>
      <xdr:row>14</xdr:row>
      <xdr:rowOff>112123</xdr:rowOff>
    </xdr:to>
    <xdr:pic>
      <xdr:nvPicPr>
        <xdr:cNvPr id="16" name="Graphic 15" descr="Newspaper">
          <a:extLst>
            <a:ext uri="{FF2B5EF4-FFF2-40B4-BE49-F238E27FC236}">
              <a16:creationId xmlns:a16="http://schemas.microsoft.com/office/drawing/2014/main" id="{320DA6F3-91F1-40A6-8F73-479853B89D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81003" y="2917372"/>
          <a:ext cx="211213" cy="182880"/>
        </a:xfrm>
        <a:prstGeom prst="rect">
          <a:avLst/>
        </a:prstGeom>
      </xdr:spPr>
    </xdr:pic>
    <xdr:clientData/>
  </xdr:twoCellAnchor>
  <xdr:twoCellAnchor editAs="absolute">
    <xdr:from>
      <xdr:col>1</xdr:col>
      <xdr:colOff>158753</xdr:colOff>
      <xdr:row>14</xdr:row>
      <xdr:rowOff>208643</xdr:rowOff>
    </xdr:from>
    <xdr:to>
      <xdr:col>1</xdr:col>
      <xdr:colOff>377728</xdr:colOff>
      <xdr:row>15</xdr:row>
      <xdr:rowOff>143874</xdr:rowOff>
    </xdr:to>
    <xdr:pic>
      <xdr:nvPicPr>
        <xdr:cNvPr id="17" name="Graphic 16" descr="Shopping bag">
          <a:extLst>
            <a:ext uri="{FF2B5EF4-FFF2-40B4-BE49-F238E27FC236}">
              <a16:creationId xmlns:a16="http://schemas.microsoft.com/office/drawing/2014/main" id="{068FA328-42A8-4B6B-8DCF-690BA05042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81003" y="3195865"/>
          <a:ext cx="218975" cy="182880"/>
        </a:xfrm>
        <a:prstGeom prst="rect">
          <a:avLst/>
        </a:prstGeom>
      </xdr:spPr>
    </xdr:pic>
    <xdr:clientData/>
  </xdr:twoCellAnchor>
  <xdr:twoCellAnchor editAs="absolute">
    <xdr:from>
      <xdr:col>1</xdr:col>
      <xdr:colOff>158753</xdr:colOff>
      <xdr:row>15</xdr:row>
      <xdr:rowOff>239487</xdr:rowOff>
    </xdr:from>
    <xdr:to>
      <xdr:col>1</xdr:col>
      <xdr:colOff>364782</xdr:colOff>
      <xdr:row>16</xdr:row>
      <xdr:rowOff>174716</xdr:rowOff>
    </xdr:to>
    <xdr:pic>
      <xdr:nvPicPr>
        <xdr:cNvPr id="18" name="Graphic 17" descr="Register">
          <a:extLst>
            <a:ext uri="{FF2B5EF4-FFF2-40B4-BE49-F238E27FC236}">
              <a16:creationId xmlns:a16="http://schemas.microsoft.com/office/drawing/2014/main" id="{26409F9E-3219-487A-BDE2-17101557C8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81003" y="3474358"/>
          <a:ext cx="206029" cy="182880"/>
        </a:xfrm>
        <a:prstGeom prst="rect">
          <a:avLst/>
        </a:prstGeom>
      </xdr:spPr>
    </xdr:pic>
    <xdr:clientData/>
  </xdr:twoCellAnchor>
  <xdr:twoCellAnchor editAs="absolute">
    <xdr:from>
      <xdr:col>1</xdr:col>
      <xdr:colOff>158753</xdr:colOff>
      <xdr:row>17</xdr:row>
      <xdr:rowOff>86180</xdr:rowOff>
    </xdr:from>
    <xdr:to>
      <xdr:col>1</xdr:col>
      <xdr:colOff>382575</xdr:colOff>
      <xdr:row>18</xdr:row>
      <xdr:rowOff>84909</xdr:rowOff>
    </xdr:to>
    <xdr:pic>
      <xdr:nvPicPr>
        <xdr:cNvPr id="19" name="Graphic 18" descr="Checklist">
          <a:extLst>
            <a:ext uri="{FF2B5EF4-FFF2-40B4-BE49-F238E27FC236}">
              <a16:creationId xmlns:a16="http://schemas.microsoft.com/office/drawing/2014/main" id="{4ACD4A43-FC1D-4163-B6C2-2DAA0DA9C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81003" y="3752851"/>
          <a:ext cx="223822" cy="182880"/>
        </a:xfrm>
        <a:prstGeom prst="rect">
          <a:avLst/>
        </a:prstGeom>
      </xdr:spPr>
    </xdr:pic>
    <xdr:clientData/>
  </xdr:twoCellAnchor>
  <xdr:twoCellAnchor editAs="absolute">
    <xdr:from>
      <xdr:col>2</xdr:col>
      <xdr:colOff>371929</xdr:colOff>
      <xdr:row>1</xdr:row>
      <xdr:rowOff>0</xdr:rowOff>
    </xdr:from>
    <xdr:to>
      <xdr:col>21</xdr:col>
      <xdr:colOff>296155</xdr:colOff>
      <xdr:row>5</xdr:row>
      <xdr:rowOff>156882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B85C67E8-A3AC-4535-9B0A-BE946A42EC71}"/>
            </a:ext>
          </a:extLst>
        </xdr:cNvPr>
        <xdr:cNvSpPr/>
      </xdr:nvSpPr>
      <xdr:spPr>
        <a:xfrm>
          <a:off x="2133600" y="184150"/>
          <a:ext cx="12333941" cy="893482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IN" sz="2800" b="1"/>
            <a:t>   CUSTOMERS MANAGEMENT SYSTEM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340145</xdr:colOff>
      <xdr:row>1</xdr:row>
      <xdr:rowOff>124124</xdr:rowOff>
    </xdr:from>
    <xdr:to>
      <xdr:col>1</xdr:col>
      <xdr:colOff>1254545</xdr:colOff>
      <xdr:row>6</xdr:row>
      <xdr:rowOff>117774</xdr:rowOff>
    </xdr:to>
    <xdr:pic>
      <xdr:nvPicPr>
        <xdr:cNvPr id="2" name="Graphic 1" descr="Bar chart">
          <a:extLst>
            <a:ext uri="{FF2B5EF4-FFF2-40B4-BE49-F238E27FC236}">
              <a16:creationId xmlns:a16="http://schemas.microsoft.com/office/drawing/2014/main" id="{EFA63A7E-B4AD-4050-8541-701B232F0A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62395" y="308274"/>
          <a:ext cx="914400" cy="914400"/>
        </a:xfrm>
        <a:prstGeom prst="rect">
          <a:avLst/>
        </a:prstGeom>
      </xdr:spPr>
    </xdr:pic>
    <xdr:clientData/>
  </xdr:twoCellAnchor>
  <xdr:twoCellAnchor>
    <xdr:from>
      <xdr:col>1</xdr:col>
      <xdr:colOff>6350</xdr:colOff>
      <xdr:row>7</xdr:row>
      <xdr:rowOff>50800</xdr:rowOff>
    </xdr:from>
    <xdr:to>
      <xdr:col>1</xdr:col>
      <xdr:colOff>1494117</xdr:colOff>
      <xdr:row>9</xdr:row>
      <xdr:rowOff>177800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E1FE7401-0C77-4D2B-822C-451B4E0CFA5F}"/>
            </a:ext>
          </a:extLst>
        </xdr:cNvPr>
        <xdr:cNvSpPr/>
      </xdr:nvSpPr>
      <xdr:spPr>
        <a:xfrm>
          <a:off x="228600" y="1339850"/>
          <a:ext cx="1487767" cy="495300"/>
        </a:xfrm>
        <a:prstGeom prst="rect">
          <a:avLst/>
        </a:prstGeom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950" b="1"/>
            <a:t>INVENTORY MANAGEMENT SYSTEM</a:t>
          </a:r>
        </a:p>
      </xdr:txBody>
    </xdr:sp>
    <xdr:clientData/>
  </xdr:twoCellAnchor>
  <xdr:twoCellAnchor editAs="absolute">
    <xdr:from>
      <xdr:col>1</xdr:col>
      <xdr:colOff>654050</xdr:colOff>
      <xdr:row>11</xdr:row>
      <xdr:rowOff>5556</xdr:rowOff>
    </xdr:from>
    <xdr:to>
      <xdr:col>2</xdr:col>
      <xdr:colOff>2756</xdr:colOff>
      <xdr:row>12</xdr:row>
      <xdr:rowOff>88106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6F38DD7-3CE5-4DAD-8176-D2A93FECE918}"/>
            </a:ext>
          </a:extLst>
        </xdr:cNvPr>
        <xdr:cNvSpPr/>
      </xdr:nvSpPr>
      <xdr:spPr>
        <a:xfrm>
          <a:off x="876300" y="2031206"/>
          <a:ext cx="876300" cy="2667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200" b="1">
              <a:solidFill>
                <a:schemeClr val="bg2">
                  <a:lumMod val="50000"/>
                </a:schemeClr>
              </a:solidFill>
            </a:rPr>
            <a:t>Customers</a:t>
          </a:r>
        </a:p>
      </xdr:txBody>
    </xdr:sp>
    <xdr:clientData/>
  </xdr:twoCellAnchor>
  <xdr:twoCellAnchor editAs="absolute">
    <xdr:from>
      <xdr:col>1</xdr:col>
      <xdr:colOff>654050</xdr:colOff>
      <xdr:row>12</xdr:row>
      <xdr:rowOff>93662</xdr:rowOff>
    </xdr:from>
    <xdr:to>
      <xdr:col>2</xdr:col>
      <xdr:colOff>2756</xdr:colOff>
      <xdr:row>13</xdr:row>
      <xdr:rowOff>176212</xdr:rowOff>
    </xdr:to>
    <xdr:sp macro="" textlink="">
      <xdr:nvSpPr>
        <xdr:cNvPr id="5" name="Rectangle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D18005E-3EAD-4AB5-BE4A-6E9CD65FC586}"/>
            </a:ext>
          </a:extLst>
        </xdr:cNvPr>
        <xdr:cNvSpPr/>
      </xdr:nvSpPr>
      <xdr:spPr>
        <a:xfrm>
          <a:off x="876300" y="2303462"/>
          <a:ext cx="876300" cy="2667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200" b="1">
              <a:solidFill>
                <a:schemeClr val="tx1">
                  <a:lumMod val="95000"/>
                  <a:lumOff val="5000"/>
                </a:schemeClr>
              </a:solidFill>
            </a:rPr>
            <a:t>Products</a:t>
          </a:r>
        </a:p>
      </xdr:txBody>
    </xdr:sp>
    <xdr:clientData/>
  </xdr:twoCellAnchor>
  <xdr:twoCellAnchor editAs="absolute">
    <xdr:from>
      <xdr:col>1</xdr:col>
      <xdr:colOff>654050</xdr:colOff>
      <xdr:row>14</xdr:row>
      <xdr:rowOff>339</xdr:rowOff>
    </xdr:from>
    <xdr:to>
      <xdr:col>2</xdr:col>
      <xdr:colOff>2756</xdr:colOff>
      <xdr:row>15</xdr:row>
      <xdr:rowOff>80168</xdr:rowOff>
    </xdr:to>
    <xdr:sp macro="" textlink="">
      <xdr:nvSpPr>
        <xdr:cNvPr id="6" name="Rectangle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451D432-B65D-476F-BA95-5C4C1E569D3A}"/>
            </a:ext>
          </a:extLst>
        </xdr:cNvPr>
        <xdr:cNvSpPr/>
      </xdr:nvSpPr>
      <xdr:spPr>
        <a:xfrm>
          <a:off x="876300" y="2575718"/>
          <a:ext cx="876300" cy="2667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200" b="1">
              <a:solidFill>
                <a:schemeClr val="bg2">
                  <a:lumMod val="50000"/>
                </a:schemeClr>
              </a:solidFill>
            </a:rPr>
            <a:t>Vendors</a:t>
          </a:r>
        </a:p>
        <a:p>
          <a:pPr algn="l"/>
          <a:endParaRPr lang="en-IN" sz="1200" b="1">
            <a:solidFill>
              <a:schemeClr val="bg2">
                <a:lumMod val="50000"/>
              </a:schemeClr>
            </a:solidFill>
          </a:endParaRPr>
        </a:p>
      </xdr:txBody>
    </xdr:sp>
    <xdr:clientData/>
  </xdr:twoCellAnchor>
  <xdr:twoCellAnchor editAs="absolute">
    <xdr:from>
      <xdr:col>1</xdr:col>
      <xdr:colOff>654050</xdr:colOff>
      <xdr:row>15</xdr:row>
      <xdr:rowOff>85724</xdr:rowOff>
    </xdr:from>
    <xdr:to>
      <xdr:col>2</xdr:col>
      <xdr:colOff>2756</xdr:colOff>
      <xdr:row>16</xdr:row>
      <xdr:rowOff>168274</xdr:rowOff>
    </xdr:to>
    <xdr:sp macro="" textlink="">
      <xdr:nvSpPr>
        <xdr:cNvPr id="7" name="Rectangle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980D42AB-4E57-4F6E-AD8C-0A841D3A625A}"/>
            </a:ext>
          </a:extLst>
        </xdr:cNvPr>
        <xdr:cNvSpPr/>
      </xdr:nvSpPr>
      <xdr:spPr>
        <a:xfrm>
          <a:off x="876300" y="2847974"/>
          <a:ext cx="876300" cy="2667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200" b="1">
              <a:solidFill>
                <a:schemeClr val="bg2">
                  <a:lumMod val="50000"/>
                </a:schemeClr>
              </a:solidFill>
            </a:rPr>
            <a:t>New Entry</a:t>
          </a:r>
        </a:p>
      </xdr:txBody>
    </xdr:sp>
    <xdr:clientData/>
  </xdr:twoCellAnchor>
  <xdr:twoCellAnchor editAs="absolute">
    <xdr:from>
      <xdr:col>1</xdr:col>
      <xdr:colOff>654050</xdr:colOff>
      <xdr:row>16</xdr:row>
      <xdr:rowOff>173830</xdr:rowOff>
    </xdr:from>
    <xdr:to>
      <xdr:col>2</xdr:col>
      <xdr:colOff>2756</xdr:colOff>
      <xdr:row>18</xdr:row>
      <xdr:rowOff>72230</xdr:rowOff>
    </xdr:to>
    <xdr:sp macro="" textlink="">
      <xdr:nvSpPr>
        <xdr:cNvPr id="8" name="Rectangle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20EED5C1-6D17-4F23-8C74-66AF41ADBB2B}"/>
            </a:ext>
          </a:extLst>
        </xdr:cNvPr>
        <xdr:cNvSpPr/>
      </xdr:nvSpPr>
      <xdr:spPr>
        <a:xfrm>
          <a:off x="876300" y="3120230"/>
          <a:ext cx="876300" cy="2667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200" b="1">
              <a:solidFill>
                <a:schemeClr val="bg2">
                  <a:lumMod val="50000"/>
                </a:schemeClr>
              </a:solidFill>
            </a:rPr>
            <a:t>Purchase</a:t>
          </a:r>
        </a:p>
      </xdr:txBody>
    </xdr:sp>
    <xdr:clientData/>
  </xdr:twoCellAnchor>
  <xdr:twoCellAnchor editAs="absolute">
    <xdr:from>
      <xdr:col>1</xdr:col>
      <xdr:colOff>654050</xdr:colOff>
      <xdr:row>18</xdr:row>
      <xdr:rowOff>77786</xdr:rowOff>
    </xdr:from>
    <xdr:to>
      <xdr:col>2</xdr:col>
      <xdr:colOff>2756</xdr:colOff>
      <xdr:row>19</xdr:row>
      <xdr:rowOff>160336</xdr:rowOff>
    </xdr:to>
    <xdr:sp macro="" textlink="">
      <xdr:nvSpPr>
        <xdr:cNvPr id="9" name="Rectangle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3B5F59C8-2C1B-426B-8E33-C573F60E5A83}"/>
            </a:ext>
          </a:extLst>
        </xdr:cNvPr>
        <xdr:cNvSpPr/>
      </xdr:nvSpPr>
      <xdr:spPr>
        <a:xfrm>
          <a:off x="876300" y="3392486"/>
          <a:ext cx="876300" cy="2667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200" b="1">
              <a:solidFill>
                <a:schemeClr val="bg2">
                  <a:lumMod val="50000"/>
                </a:schemeClr>
              </a:solidFill>
            </a:rPr>
            <a:t>Sales</a:t>
          </a:r>
        </a:p>
        <a:p>
          <a:pPr algn="l"/>
          <a:endParaRPr lang="en-IN" sz="1200" b="1">
            <a:solidFill>
              <a:schemeClr val="bg2">
                <a:lumMod val="50000"/>
              </a:schemeClr>
            </a:solidFill>
          </a:endParaRPr>
        </a:p>
      </xdr:txBody>
    </xdr:sp>
    <xdr:clientData/>
  </xdr:twoCellAnchor>
  <xdr:twoCellAnchor editAs="absolute">
    <xdr:from>
      <xdr:col>1</xdr:col>
      <xdr:colOff>654050</xdr:colOff>
      <xdr:row>19</xdr:row>
      <xdr:rowOff>165892</xdr:rowOff>
    </xdr:from>
    <xdr:to>
      <xdr:col>2</xdr:col>
      <xdr:colOff>2756</xdr:colOff>
      <xdr:row>21</xdr:row>
      <xdr:rowOff>64292</xdr:rowOff>
    </xdr:to>
    <xdr:sp macro="" textlink="">
      <xdr:nvSpPr>
        <xdr:cNvPr id="10" name="Rectangle 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11D3DF59-EEAC-4F09-98AD-DF3BB6E126AC}"/>
            </a:ext>
          </a:extLst>
        </xdr:cNvPr>
        <xdr:cNvSpPr/>
      </xdr:nvSpPr>
      <xdr:spPr>
        <a:xfrm>
          <a:off x="876300" y="3664742"/>
          <a:ext cx="876300" cy="2667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200" b="1">
              <a:solidFill>
                <a:schemeClr val="bg2">
                  <a:lumMod val="50000"/>
                </a:schemeClr>
              </a:solidFill>
            </a:rPr>
            <a:t>Inventory</a:t>
          </a:r>
        </a:p>
      </xdr:txBody>
    </xdr:sp>
    <xdr:clientData/>
  </xdr:twoCellAnchor>
  <xdr:twoCellAnchor editAs="absolute">
    <xdr:from>
      <xdr:col>1</xdr:col>
      <xdr:colOff>654050</xdr:colOff>
      <xdr:row>9</xdr:row>
      <xdr:rowOff>101600</xdr:rowOff>
    </xdr:from>
    <xdr:to>
      <xdr:col>2</xdr:col>
      <xdr:colOff>2756</xdr:colOff>
      <xdr:row>11</xdr:row>
      <xdr:rowOff>0</xdr:rowOff>
    </xdr:to>
    <xdr:sp macro="" textlink="">
      <xdr:nvSpPr>
        <xdr:cNvPr id="11" name="Rectangle 1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49A1D021-616D-4AF9-9C0E-2265E1BFEC65}"/>
            </a:ext>
          </a:extLst>
        </xdr:cNvPr>
        <xdr:cNvSpPr/>
      </xdr:nvSpPr>
      <xdr:spPr>
        <a:xfrm>
          <a:off x="876300" y="1758950"/>
          <a:ext cx="876300" cy="2667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200" b="1">
              <a:solidFill>
                <a:schemeClr val="bg2">
                  <a:lumMod val="50000"/>
                </a:schemeClr>
              </a:solidFill>
            </a:rPr>
            <a:t>Dashboard</a:t>
          </a:r>
        </a:p>
        <a:p>
          <a:pPr algn="l"/>
          <a:endParaRPr lang="en-IN" sz="1200" b="1">
            <a:solidFill>
              <a:schemeClr val="bg2">
                <a:lumMod val="50000"/>
              </a:schemeClr>
            </a:solidFill>
          </a:endParaRPr>
        </a:p>
      </xdr:txBody>
    </xdr:sp>
    <xdr:clientData/>
  </xdr:twoCellAnchor>
  <xdr:twoCellAnchor editAs="absolute">
    <xdr:from>
      <xdr:col>1</xdr:col>
      <xdr:colOff>158753</xdr:colOff>
      <xdr:row>9</xdr:row>
      <xdr:rowOff>146050</xdr:rowOff>
    </xdr:from>
    <xdr:to>
      <xdr:col>1</xdr:col>
      <xdr:colOff>351092</xdr:colOff>
      <xdr:row>10</xdr:row>
      <xdr:rowOff>144780</xdr:rowOff>
    </xdr:to>
    <xdr:pic>
      <xdr:nvPicPr>
        <xdr:cNvPr id="12" name="Graphic 11" descr="Gauge">
          <a:extLst>
            <a:ext uri="{FF2B5EF4-FFF2-40B4-BE49-F238E27FC236}">
              <a16:creationId xmlns:a16="http://schemas.microsoft.com/office/drawing/2014/main" id="{BD1E0D67-30CC-44AE-B3B2-051E5D3D86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81003" y="1803400"/>
          <a:ext cx="192339" cy="182880"/>
        </a:xfrm>
        <a:prstGeom prst="rect">
          <a:avLst/>
        </a:prstGeom>
      </xdr:spPr>
    </xdr:pic>
    <xdr:clientData/>
  </xdr:twoCellAnchor>
  <xdr:twoCellAnchor editAs="absolute">
    <xdr:from>
      <xdr:col>1</xdr:col>
      <xdr:colOff>158753</xdr:colOff>
      <xdr:row>11</xdr:row>
      <xdr:rowOff>56243</xdr:rowOff>
    </xdr:from>
    <xdr:to>
      <xdr:col>1</xdr:col>
      <xdr:colOff>349253</xdr:colOff>
      <xdr:row>12</xdr:row>
      <xdr:rowOff>54973</xdr:rowOff>
    </xdr:to>
    <xdr:pic>
      <xdr:nvPicPr>
        <xdr:cNvPr id="13" name="Graphic 12" descr="Target Audience">
          <a:extLst>
            <a:ext uri="{FF2B5EF4-FFF2-40B4-BE49-F238E27FC236}">
              <a16:creationId xmlns:a16="http://schemas.microsoft.com/office/drawing/2014/main" id="{F0C38A91-1519-4808-83CB-9027B9CBBB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81003" y="2081893"/>
          <a:ext cx="190500" cy="182880"/>
        </a:xfrm>
        <a:prstGeom prst="rect">
          <a:avLst/>
        </a:prstGeom>
      </xdr:spPr>
    </xdr:pic>
    <xdr:clientData/>
  </xdr:twoCellAnchor>
  <xdr:twoCellAnchor editAs="absolute">
    <xdr:from>
      <xdr:col>1</xdr:col>
      <xdr:colOff>158753</xdr:colOff>
      <xdr:row>12</xdr:row>
      <xdr:rowOff>150586</xdr:rowOff>
    </xdr:from>
    <xdr:to>
      <xdr:col>1</xdr:col>
      <xdr:colOff>361404</xdr:colOff>
      <xdr:row>13</xdr:row>
      <xdr:rowOff>149316</xdr:rowOff>
    </xdr:to>
    <xdr:pic>
      <xdr:nvPicPr>
        <xdr:cNvPr id="14" name="Graphic 13" descr="Advertising">
          <a:extLst>
            <a:ext uri="{FF2B5EF4-FFF2-40B4-BE49-F238E27FC236}">
              <a16:creationId xmlns:a16="http://schemas.microsoft.com/office/drawing/2014/main" id="{7F74F65A-CDD3-41CA-9E95-BEDBEBD222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81003" y="2360386"/>
          <a:ext cx="202651" cy="182880"/>
        </a:xfrm>
        <a:prstGeom prst="rect">
          <a:avLst/>
        </a:prstGeom>
      </xdr:spPr>
    </xdr:pic>
    <xdr:clientData/>
  </xdr:twoCellAnchor>
  <xdr:twoCellAnchor editAs="absolute">
    <xdr:from>
      <xdr:col>1</xdr:col>
      <xdr:colOff>158753</xdr:colOff>
      <xdr:row>14</xdr:row>
      <xdr:rowOff>60779</xdr:rowOff>
    </xdr:from>
    <xdr:to>
      <xdr:col>1</xdr:col>
      <xdr:colOff>355014</xdr:colOff>
      <xdr:row>15</xdr:row>
      <xdr:rowOff>59509</xdr:rowOff>
    </xdr:to>
    <xdr:pic>
      <xdr:nvPicPr>
        <xdr:cNvPr id="15" name="Graphic 14" descr="Kiosk">
          <a:extLst>
            <a:ext uri="{FF2B5EF4-FFF2-40B4-BE49-F238E27FC236}">
              <a16:creationId xmlns:a16="http://schemas.microsoft.com/office/drawing/2014/main" id="{604A4FED-F632-4208-B604-E94427B884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81003" y="2638879"/>
          <a:ext cx="196261" cy="182880"/>
        </a:xfrm>
        <a:prstGeom prst="rect">
          <a:avLst/>
        </a:prstGeom>
      </xdr:spPr>
    </xdr:pic>
    <xdr:clientData/>
  </xdr:twoCellAnchor>
  <xdr:twoCellAnchor editAs="absolute">
    <xdr:from>
      <xdr:col>1</xdr:col>
      <xdr:colOff>158753</xdr:colOff>
      <xdr:row>15</xdr:row>
      <xdr:rowOff>155122</xdr:rowOff>
    </xdr:from>
    <xdr:to>
      <xdr:col>1</xdr:col>
      <xdr:colOff>369966</xdr:colOff>
      <xdr:row>16</xdr:row>
      <xdr:rowOff>153852</xdr:rowOff>
    </xdr:to>
    <xdr:pic>
      <xdr:nvPicPr>
        <xdr:cNvPr id="16" name="Graphic 15" descr="Newspaper">
          <a:extLst>
            <a:ext uri="{FF2B5EF4-FFF2-40B4-BE49-F238E27FC236}">
              <a16:creationId xmlns:a16="http://schemas.microsoft.com/office/drawing/2014/main" id="{4B1679A3-4455-49F2-8F4E-C3E3CCEA36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81003" y="2917372"/>
          <a:ext cx="211213" cy="182880"/>
        </a:xfrm>
        <a:prstGeom prst="rect">
          <a:avLst/>
        </a:prstGeom>
      </xdr:spPr>
    </xdr:pic>
    <xdr:clientData/>
  </xdr:twoCellAnchor>
  <xdr:twoCellAnchor editAs="absolute">
    <xdr:from>
      <xdr:col>1</xdr:col>
      <xdr:colOff>158753</xdr:colOff>
      <xdr:row>17</xdr:row>
      <xdr:rowOff>65315</xdr:rowOff>
    </xdr:from>
    <xdr:to>
      <xdr:col>1</xdr:col>
      <xdr:colOff>377728</xdr:colOff>
      <xdr:row>18</xdr:row>
      <xdr:rowOff>64045</xdr:rowOff>
    </xdr:to>
    <xdr:pic>
      <xdr:nvPicPr>
        <xdr:cNvPr id="17" name="Graphic 16" descr="Shopping bag">
          <a:extLst>
            <a:ext uri="{FF2B5EF4-FFF2-40B4-BE49-F238E27FC236}">
              <a16:creationId xmlns:a16="http://schemas.microsoft.com/office/drawing/2014/main" id="{3E23607B-F428-4749-9329-52877BBE6B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81003" y="3195865"/>
          <a:ext cx="218975" cy="182880"/>
        </a:xfrm>
        <a:prstGeom prst="rect">
          <a:avLst/>
        </a:prstGeom>
      </xdr:spPr>
    </xdr:pic>
    <xdr:clientData/>
  </xdr:twoCellAnchor>
  <xdr:twoCellAnchor editAs="absolute">
    <xdr:from>
      <xdr:col>1</xdr:col>
      <xdr:colOff>158753</xdr:colOff>
      <xdr:row>18</xdr:row>
      <xdr:rowOff>159658</xdr:rowOff>
    </xdr:from>
    <xdr:to>
      <xdr:col>1</xdr:col>
      <xdr:colOff>364782</xdr:colOff>
      <xdr:row>19</xdr:row>
      <xdr:rowOff>158388</xdr:rowOff>
    </xdr:to>
    <xdr:pic>
      <xdr:nvPicPr>
        <xdr:cNvPr id="18" name="Graphic 17" descr="Register">
          <a:extLst>
            <a:ext uri="{FF2B5EF4-FFF2-40B4-BE49-F238E27FC236}">
              <a16:creationId xmlns:a16="http://schemas.microsoft.com/office/drawing/2014/main" id="{B32E13C0-4FAD-4338-B4C2-E96062FC4E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81003" y="3474358"/>
          <a:ext cx="206029" cy="182880"/>
        </a:xfrm>
        <a:prstGeom prst="rect">
          <a:avLst/>
        </a:prstGeom>
      </xdr:spPr>
    </xdr:pic>
    <xdr:clientData/>
  </xdr:twoCellAnchor>
  <xdr:twoCellAnchor editAs="absolute">
    <xdr:from>
      <xdr:col>1</xdr:col>
      <xdr:colOff>158753</xdr:colOff>
      <xdr:row>20</xdr:row>
      <xdr:rowOff>69851</xdr:rowOff>
    </xdr:from>
    <xdr:to>
      <xdr:col>1</xdr:col>
      <xdr:colOff>382575</xdr:colOff>
      <xdr:row>21</xdr:row>
      <xdr:rowOff>68581</xdr:rowOff>
    </xdr:to>
    <xdr:pic>
      <xdr:nvPicPr>
        <xdr:cNvPr id="19" name="Graphic 18" descr="Checklist">
          <a:extLst>
            <a:ext uri="{FF2B5EF4-FFF2-40B4-BE49-F238E27FC236}">
              <a16:creationId xmlns:a16="http://schemas.microsoft.com/office/drawing/2014/main" id="{F9219D9A-BF87-4604-B3E0-2BADFAF15F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81003" y="3752851"/>
          <a:ext cx="223822" cy="182880"/>
        </a:xfrm>
        <a:prstGeom prst="rect">
          <a:avLst/>
        </a:prstGeom>
      </xdr:spPr>
    </xdr:pic>
    <xdr:clientData/>
  </xdr:twoCellAnchor>
  <xdr:twoCellAnchor editAs="absolute">
    <xdr:from>
      <xdr:col>3</xdr:col>
      <xdr:colOff>0</xdr:colOff>
      <xdr:row>1</xdr:row>
      <xdr:rowOff>4186</xdr:rowOff>
    </xdr:from>
    <xdr:to>
      <xdr:col>21</xdr:col>
      <xdr:colOff>377798</xdr:colOff>
      <xdr:row>5</xdr:row>
      <xdr:rowOff>156882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A325FB2A-54C3-4993-A78B-3C6DB119FBE0}"/>
            </a:ext>
          </a:extLst>
        </xdr:cNvPr>
        <xdr:cNvSpPr/>
      </xdr:nvSpPr>
      <xdr:spPr>
        <a:xfrm>
          <a:off x="2133600" y="184150"/>
          <a:ext cx="12333941" cy="893482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IN" sz="2800" b="1" baseline="0"/>
            <a:t>   PRODUCTS</a:t>
          </a:r>
          <a:endParaRPr lang="en-IN" sz="2800" b="1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340145</xdr:colOff>
      <xdr:row>1</xdr:row>
      <xdr:rowOff>124124</xdr:rowOff>
    </xdr:from>
    <xdr:to>
      <xdr:col>1</xdr:col>
      <xdr:colOff>1254545</xdr:colOff>
      <xdr:row>6</xdr:row>
      <xdr:rowOff>117774</xdr:rowOff>
    </xdr:to>
    <xdr:pic>
      <xdr:nvPicPr>
        <xdr:cNvPr id="2" name="Graphic 1" descr="Bar chart">
          <a:extLst>
            <a:ext uri="{FF2B5EF4-FFF2-40B4-BE49-F238E27FC236}">
              <a16:creationId xmlns:a16="http://schemas.microsoft.com/office/drawing/2014/main" id="{803D6353-EC75-42D6-8499-E0C272608A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62395" y="308274"/>
          <a:ext cx="914400" cy="914400"/>
        </a:xfrm>
        <a:prstGeom prst="rect">
          <a:avLst/>
        </a:prstGeom>
      </xdr:spPr>
    </xdr:pic>
    <xdr:clientData/>
  </xdr:twoCellAnchor>
  <xdr:twoCellAnchor>
    <xdr:from>
      <xdr:col>1</xdr:col>
      <xdr:colOff>6350</xdr:colOff>
      <xdr:row>7</xdr:row>
      <xdr:rowOff>50800</xdr:rowOff>
    </xdr:from>
    <xdr:to>
      <xdr:col>1</xdr:col>
      <xdr:colOff>1494117</xdr:colOff>
      <xdr:row>9</xdr:row>
      <xdr:rowOff>177800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1EF9163E-4916-4BD5-865E-DC650CECC9DC}"/>
            </a:ext>
          </a:extLst>
        </xdr:cNvPr>
        <xdr:cNvSpPr/>
      </xdr:nvSpPr>
      <xdr:spPr>
        <a:xfrm>
          <a:off x="228600" y="1339850"/>
          <a:ext cx="1487767" cy="495300"/>
        </a:xfrm>
        <a:prstGeom prst="rect">
          <a:avLst/>
        </a:prstGeom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950" b="1"/>
            <a:t>INVENTORY MANAGEMENT SYSTEM</a:t>
          </a:r>
        </a:p>
      </xdr:txBody>
    </xdr:sp>
    <xdr:clientData/>
  </xdr:twoCellAnchor>
  <xdr:twoCellAnchor editAs="absolute">
    <xdr:from>
      <xdr:col>1</xdr:col>
      <xdr:colOff>654050</xdr:colOff>
      <xdr:row>11</xdr:row>
      <xdr:rowOff>5556</xdr:rowOff>
    </xdr:from>
    <xdr:to>
      <xdr:col>1</xdr:col>
      <xdr:colOff>1530350</xdr:colOff>
      <xdr:row>12</xdr:row>
      <xdr:rowOff>88106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E55035C-7755-4231-BC74-06A063BF3CA1}"/>
            </a:ext>
          </a:extLst>
        </xdr:cNvPr>
        <xdr:cNvSpPr/>
      </xdr:nvSpPr>
      <xdr:spPr>
        <a:xfrm>
          <a:off x="876300" y="2031206"/>
          <a:ext cx="876300" cy="2667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200" b="1">
              <a:solidFill>
                <a:schemeClr val="bg2">
                  <a:lumMod val="50000"/>
                </a:schemeClr>
              </a:solidFill>
            </a:rPr>
            <a:t>Customers</a:t>
          </a:r>
        </a:p>
      </xdr:txBody>
    </xdr:sp>
    <xdr:clientData/>
  </xdr:twoCellAnchor>
  <xdr:twoCellAnchor editAs="absolute">
    <xdr:from>
      <xdr:col>1</xdr:col>
      <xdr:colOff>654050</xdr:colOff>
      <xdr:row>12</xdr:row>
      <xdr:rowOff>93662</xdr:rowOff>
    </xdr:from>
    <xdr:to>
      <xdr:col>1</xdr:col>
      <xdr:colOff>1530350</xdr:colOff>
      <xdr:row>13</xdr:row>
      <xdr:rowOff>176212</xdr:rowOff>
    </xdr:to>
    <xdr:sp macro="" textlink="">
      <xdr:nvSpPr>
        <xdr:cNvPr id="5" name="Rectangle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7DAB9A6-0C7D-4678-B28F-8EF08457C27A}"/>
            </a:ext>
          </a:extLst>
        </xdr:cNvPr>
        <xdr:cNvSpPr/>
      </xdr:nvSpPr>
      <xdr:spPr>
        <a:xfrm>
          <a:off x="876300" y="2303462"/>
          <a:ext cx="876300" cy="2667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200" b="1">
              <a:solidFill>
                <a:schemeClr val="bg2">
                  <a:lumMod val="50000"/>
                </a:schemeClr>
              </a:solidFill>
            </a:rPr>
            <a:t>Products</a:t>
          </a:r>
        </a:p>
      </xdr:txBody>
    </xdr:sp>
    <xdr:clientData/>
  </xdr:twoCellAnchor>
  <xdr:twoCellAnchor editAs="absolute">
    <xdr:from>
      <xdr:col>1</xdr:col>
      <xdr:colOff>654050</xdr:colOff>
      <xdr:row>14</xdr:row>
      <xdr:rowOff>339</xdr:rowOff>
    </xdr:from>
    <xdr:to>
      <xdr:col>1</xdr:col>
      <xdr:colOff>1530350</xdr:colOff>
      <xdr:row>15</xdr:row>
      <xdr:rowOff>80168</xdr:rowOff>
    </xdr:to>
    <xdr:sp macro="" textlink="">
      <xdr:nvSpPr>
        <xdr:cNvPr id="6" name="Rectangle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A1BBE2B-F99F-4E29-8025-A10B16F127B4}"/>
            </a:ext>
          </a:extLst>
        </xdr:cNvPr>
        <xdr:cNvSpPr/>
      </xdr:nvSpPr>
      <xdr:spPr>
        <a:xfrm>
          <a:off x="876300" y="2575718"/>
          <a:ext cx="876300" cy="2667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200" b="1">
              <a:solidFill>
                <a:schemeClr val="tx1">
                  <a:lumMod val="95000"/>
                  <a:lumOff val="5000"/>
                </a:schemeClr>
              </a:solidFill>
            </a:rPr>
            <a:t>Vendors</a:t>
          </a:r>
        </a:p>
        <a:p>
          <a:pPr algn="l"/>
          <a:endParaRPr lang="en-IN" sz="1200" b="1">
            <a:solidFill>
              <a:schemeClr val="bg2">
                <a:lumMod val="50000"/>
              </a:schemeClr>
            </a:solidFill>
          </a:endParaRPr>
        </a:p>
      </xdr:txBody>
    </xdr:sp>
    <xdr:clientData/>
  </xdr:twoCellAnchor>
  <xdr:twoCellAnchor editAs="absolute">
    <xdr:from>
      <xdr:col>1</xdr:col>
      <xdr:colOff>654050</xdr:colOff>
      <xdr:row>15</xdr:row>
      <xdr:rowOff>85724</xdr:rowOff>
    </xdr:from>
    <xdr:to>
      <xdr:col>1</xdr:col>
      <xdr:colOff>1530350</xdr:colOff>
      <xdr:row>16</xdr:row>
      <xdr:rowOff>168274</xdr:rowOff>
    </xdr:to>
    <xdr:sp macro="" textlink="">
      <xdr:nvSpPr>
        <xdr:cNvPr id="7" name="Rectangle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EFF532BA-9A0E-42CF-A578-1DA0C205F906}"/>
            </a:ext>
          </a:extLst>
        </xdr:cNvPr>
        <xdr:cNvSpPr/>
      </xdr:nvSpPr>
      <xdr:spPr>
        <a:xfrm>
          <a:off x="876300" y="2847974"/>
          <a:ext cx="876300" cy="2667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200" b="1">
              <a:solidFill>
                <a:schemeClr val="bg2">
                  <a:lumMod val="50000"/>
                </a:schemeClr>
              </a:solidFill>
            </a:rPr>
            <a:t>New Entry</a:t>
          </a:r>
        </a:p>
      </xdr:txBody>
    </xdr:sp>
    <xdr:clientData/>
  </xdr:twoCellAnchor>
  <xdr:twoCellAnchor editAs="absolute">
    <xdr:from>
      <xdr:col>1</xdr:col>
      <xdr:colOff>654050</xdr:colOff>
      <xdr:row>16</xdr:row>
      <xdr:rowOff>173830</xdr:rowOff>
    </xdr:from>
    <xdr:to>
      <xdr:col>1</xdr:col>
      <xdr:colOff>1530350</xdr:colOff>
      <xdr:row>18</xdr:row>
      <xdr:rowOff>72230</xdr:rowOff>
    </xdr:to>
    <xdr:sp macro="" textlink="">
      <xdr:nvSpPr>
        <xdr:cNvPr id="8" name="Rectangle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8FB5FBE-7FD4-423D-8789-32A1D70AD9E1}"/>
            </a:ext>
          </a:extLst>
        </xdr:cNvPr>
        <xdr:cNvSpPr/>
      </xdr:nvSpPr>
      <xdr:spPr>
        <a:xfrm>
          <a:off x="876300" y="3120230"/>
          <a:ext cx="876300" cy="2667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200" b="1">
              <a:solidFill>
                <a:schemeClr val="bg2">
                  <a:lumMod val="50000"/>
                </a:schemeClr>
              </a:solidFill>
            </a:rPr>
            <a:t>Purchase</a:t>
          </a:r>
        </a:p>
      </xdr:txBody>
    </xdr:sp>
    <xdr:clientData/>
  </xdr:twoCellAnchor>
  <xdr:twoCellAnchor editAs="absolute">
    <xdr:from>
      <xdr:col>1</xdr:col>
      <xdr:colOff>654050</xdr:colOff>
      <xdr:row>18</xdr:row>
      <xdr:rowOff>77786</xdr:rowOff>
    </xdr:from>
    <xdr:to>
      <xdr:col>1</xdr:col>
      <xdr:colOff>1530350</xdr:colOff>
      <xdr:row>19</xdr:row>
      <xdr:rowOff>160336</xdr:rowOff>
    </xdr:to>
    <xdr:sp macro="" textlink="">
      <xdr:nvSpPr>
        <xdr:cNvPr id="9" name="Rectangle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E364A251-8FA5-463D-BC31-2474D2CB6C70}"/>
            </a:ext>
          </a:extLst>
        </xdr:cNvPr>
        <xdr:cNvSpPr/>
      </xdr:nvSpPr>
      <xdr:spPr>
        <a:xfrm>
          <a:off x="876300" y="3392486"/>
          <a:ext cx="876300" cy="2667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200" b="1">
              <a:solidFill>
                <a:schemeClr val="bg2">
                  <a:lumMod val="50000"/>
                </a:schemeClr>
              </a:solidFill>
            </a:rPr>
            <a:t>Sales</a:t>
          </a:r>
        </a:p>
        <a:p>
          <a:pPr algn="l"/>
          <a:endParaRPr lang="en-IN" sz="1200" b="1">
            <a:solidFill>
              <a:schemeClr val="bg2">
                <a:lumMod val="50000"/>
              </a:schemeClr>
            </a:solidFill>
          </a:endParaRPr>
        </a:p>
      </xdr:txBody>
    </xdr:sp>
    <xdr:clientData/>
  </xdr:twoCellAnchor>
  <xdr:twoCellAnchor editAs="absolute">
    <xdr:from>
      <xdr:col>1</xdr:col>
      <xdr:colOff>654050</xdr:colOff>
      <xdr:row>19</xdr:row>
      <xdr:rowOff>165892</xdr:rowOff>
    </xdr:from>
    <xdr:to>
      <xdr:col>1</xdr:col>
      <xdr:colOff>1530350</xdr:colOff>
      <xdr:row>21</xdr:row>
      <xdr:rowOff>64292</xdr:rowOff>
    </xdr:to>
    <xdr:sp macro="" textlink="">
      <xdr:nvSpPr>
        <xdr:cNvPr id="10" name="Rectangle 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B4300B1F-0407-4DAC-8711-651560AFB5F7}"/>
            </a:ext>
          </a:extLst>
        </xdr:cNvPr>
        <xdr:cNvSpPr/>
      </xdr:nvSpPr>
      <xdr:spPr>
        <a:xfrm>
          <a:off x="876300" y="3664742"/>
          <a:ext cx="876300" cy="2667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200" b="1">
              <a:solidFill>
                <a:schemeClr val="bg2">
                  <a:lumMod val="50000"/>
                </a:schemeClr>
              </a:solidFill>
            </a:rPr>
            <a:t>Inventory</a:t>
          </a:r>
        </a:p>
      </xdr:txBody>
    </xdr:sp>
    <xdr:clientData/>
  </xdr:twoCellAnchor>
  <xdr:twoCellAnchor editAs="absolute">
    <xdr:from>
      <xdr:col>1</xdr:col>
      <xdr:colOff>654050</xdr:colOff>
      <xdr:row>9</xdr:row>
      <xdr:rowOff>101600</xdr:rowOff>
    </xdr:from>
    <xdr:to>
      <xdr:col>1</xdr:col>
      <xdr:colOff>1530350</xdr:colOff>
      <xdr:row>11</xdr:row>
      <xdr:rowOff>0</xdr:rowOff>
    </xdr:to>
    <xdr:sp macro="" textlink="">
      <xdr:nvSpPr>
        <xdr:cNvPr id="11" name="Rectangle 1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F0DF6CC8-0B76-4A2E-933E-8EB3BC86A42C}"/>
            </a:ext>
          </a:extLst>
        </xdr:cNvPr>
        <xdr:cNvSpPr/>
      </xdr:nvSpPr>
      <xdr:spPr>
        <a:xfrm>
          <a:off x="876300" y="1758950"/>
          <a:ext cx="876300" cy="2667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200" b="1">
              <a:solidFill>
                <a:schemeClr val="bg2">
                  <a:lumMod val="50000"/>
                </a:schemeClr>
              </a:solidFill>
            </a:rPr>
            <a:t>Dashboard</a:t>
          </a:r>
        </a:p>
        <a:p>
          <a:pPr algn="l"/>
          <a:endParaRPr lang="en-IN" sz="1200" b="1">
            <a:solidFill>
              <a:schemeClr val="bg2">
                <a:lumMod val="50000"/>
              </a:schemeClr>
            </a:solidFill>
          </a:endParaRPr>
        </a:p>
      </xdr:txBody>
    </xdr:sp>
    <xdr:clientData/>
  </xdr:twoCellAnchor>
  <xdr:twoCellAnchor editAs="absolute">
    <xdr:from>
      <xdr:col>1</xdr:col>
      <xdr:colOff>158753</xdr:colOff>
      <xdr:row>9</xdr:row>
      <xdr:rowOff>146050</xdr:rowOff>
    </xdr:from>
    <xdr:to>
      <xdr:col>1</xdr:col>
      <xdr:colOff>351092</xdr:colOff>
      <xdr:row>10</xdr:row>
      <xdr:rowOff>144780</xdr:rowOff>
    </xdr:to>
    <xdr:pic>
      <xdr:nvPicPr>
        <xdr:cNvPr id="12" name="Graphic 11" descr="Gauge">
          <a:extLst>
            <a:ext uri="{FF2B5EF4-FFF2-40B4-BE49-F238E27FC236}">
              <a16:creationId xmlns:a16="http://schemas.microsoft.com/office/drawing/2014/main" id="{78D8F293-94EA-4F64-904E-CD1A17ACF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81003" y="1803400"/>
          <a:ext cx="192339" cy="182880"/>
        </a:xfrm>
        <a:prstGeom prst="rect">
          <a:avLst/>
        </a:prstGeom>
      </xdr:spPr>
    </xdr:pic>
    <xdr:clientData/>
  </xdr:twoCellAnchor>
  <xdr:twoCellAnchor editAs="absolute">
    <xdr:from>
      <xdr:col>1</xdr:col>
      <xdr:colOff>158753</xdr:colOff>
      <xdr:row>11</xdr:row>
      <xdr:rowOff>56243</xdr:rowOff>
    </xdr:from>
    <xdr:to>
      <xdr:col>1</xdr:col>
      <xdr:colOff>349253</xdr:colOff>
      <xdr:row>12</xdr:row>
      <xdr:rowOff>54973</xdr:rowOff>
    </xdr:to>
    <xdr:pic>
      <xdr:nvPicPr>
        <xdr:cNvPr id="13" name="Graphic 12" descr="Target Audience">
          <a:extLst>
            <a:ext uri="{FF2B5EF4-FFF2-40B4-BE49-F238E27FC236}">
              <a16:creationId xmlns:a16="http://schemas.microsoft.com/office/drawing/2014/main" id="{C04F7EB1-4A67-48A8-963F-2EBBC52855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81003" y="2081893"/>
          <a:ext cx="190500" cy="182880"/>
        </a:xfrm>
        <a:prstGeom prst="rect">
          <a:avLst/>
        </a:prstGeom>
      </xdr:spPr>
    </xdr:pic>
    <xdr:clientData/>
  </xdr:twoCellAnchor>
  <xdr:twoCellAnchor editAs="absolute">
    <xdr:from>
      <xdr:col>1</xdr:col>
      <xdr:colOff>158753</xdr:colOff>
      <xdr:row>12</xdr:row>
      <xdr:rowOff>150586</xdr:rowOff>
    </xdr:from>
    <xdr:to>
      <xdr:col>1</xdr:col>
      <xdr:colOff>361404</xdr:colOff>
      <xdr:row>13</xdr:row>
      <xdr:rowOff>149316</xdr:rowOff>
    </xdr:to>
    <xdr:pic>
      <xdr:nvPicPr>
        <xdr:cNvPr id="14" name="Graphic 13" descr="Advertising">
          <a:extLst>
            <a:ext uri="{FF2B5EF4-FFF2-40B4-BE49-F238E27FC236}">
              <a16:creationId xmlns:a16="http://schemas.microsoft.com/office/drawing/2014/main" id="{F43D2BAE-EF15-4C01-BD29-0D1371B2F6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81003" y="2360386"/>
          <a:ext cx="202651" cy="182880"/>
        </a:xfrm>
        <a:prstGeom prst="rect">
          <a:avLst/>
        </a:prstGeom>
      </xdr:spPr>
    </xdr:pic>
    <xdr:clientData/>
  </xdr:twoCellAnchor>
  <xdr:twoCellAnchor editAs="absolute">
    <xdr:from>
      <xdr:col>1</xdr:col>
      <xdr:colOff>158753</xdr:colOff>
      <xdr:row>14</xdr:row>
      <xdr:rowOff>60779</xdr:rowOff>
    </xdr:from>
    <xdr:to>
      <xdr:col>1</xdr:col>
      <xdr:colOff>355014</xdr:colOff>
      <xdr:row>15</xdr:row>
      <xdr:rowOff>59509</xdr:rowOff>
    </xdr:to>
    <xdr:pic>
      <xdr:nvPicPr>
        <xdr:cNvPr id="15" name="Graphic 14" descr="Kiosk">
          <a:extLst>
            <a:ext uri="{FF2B5EF4-FFF2-40B4-BE49-F238E27FC236}">
              <a16:creationId xmlns:a16="http://schemas.microsoft.com/office/drawing/2014/main" id="{B4E14079-74D1-44F5-B9E7-EE6DB6ABA7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81003" y="2638879"/>
          <a:ext cx="196261" cy="182880"/>
        </a:xfrm>
        <a:prstGeom prst="rect">
          <a:avLst/>
        </a:prstGeom>
      </xdr:spPr>
    </xdr:pic>
    <xdr:clientData/>
  </xdr:twoCellAnchor>
  <xdr:twoCellAnchor editAs="absolute">
    <xdr:from>
      <xdr:col>1</xdr:col>
      <xdr:colOff>158753</xdr:colOff>
      <xdr:row>15</xdr:row>
      <xdr:rowOff>155122</xdr:rowOff>
    </xdr:from>
    <xdr:to>
      <xdr:col>1</xdr:col>
      <xdr:colOff>369966</xdr:colOff>
      <xdr:row>16</xdr:row>
      <xdr:rowOff>153852</xdr:rowOff>
    </xdr:to>
    <xdr:pic>
      <xdr:nvPicPr>
        <xdr:cNvPr id="16" name="Graphic 15" descr="Newspaper">
          <a:extLst>
            <a:ext uri="{FF2B5EF4-FFF2-40B4-BE49-F238E27FC236}">
              <a16:creationId xmlns:a16="http://schemas.microsoft.com/office/drawing/2014/main" id="{81A64CCF-0DC3-4120-B36E-C3772E7102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81003" y="2917372"/>
          <a:ext cx="211213" cy="182880"/>
        </a:xfrm>
        <a:prstGeom prst="rect">
          <a:avLst/>
        </a:prstGeom>
      </xdr:spPr>
    </xdr:pic>
    <xdr:clientData/>
  </xdr:twoCellAnchor>
  <xdr:twoCellAnchor editAs="absolute">
    <xdr:from>
      <xdr:col>1</xdr:col>
      <xdr:colOff>158753</xdr:colOff>
      <xdr:row>17</xdr:row>
      <xdr:rowOff>65315</xdr:rowOff>
    </xdr:from>
    <xdr:to>
      <xdr:col>1</xdr:col>
      <xdr:colOff>377728</xdr:colOff>
      <xdr:row>18</xdr:row>
      <xdr:rowOff>64045</xdr:rowOff>
    </xdr:to>
    <xdr:pic>
      <xdr:nvPicPr>
        <xdr:cNvPr id="17" name="Graphic 16" descr="Shopping bag">
          <a:extLst>
            <a:ext uri="{FF2B5EF4-FFF2-40B4-BE49-F238E27FC236}">
              <a16:creationId xmlns:a16="http://schemas.microsoft.com/office/drawing/2014/main" id="{E066D550-F944-46A7-BDFB-6AF1CE39B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81003" y="3195865"/>
          <a:ext cx="218975" cy="182880"/>
        </a:xfrm>
        <a:prstGeom prst="rect">
          <a:avLst/>
        </a:prstGeom>
      </xdr:spPr>
    </xdr:pic>
    <xdr:clientData/>
  </xdr:twoCellAnchor>
  <xdr:twoCellAnchor editAs="absolute">
    <xdr:from>
      <xdr:col>1</xdr:col>
      <xdr:colOff>158753</xdr:colOff>
      <xdr:row>18</xdr:row>
      <xdr:rowOff>159658</xdr:rowOff>
    </xdr:from>
    <xdr:to>
      <xdr:col>1</xdr:col>
      <xdr:colOff>364782</xdr:colOff>
      <xdr:row>19</xdr:row>
      <xdr:rowOff>158388</xdr:rowOff>
    </xdr:to>
    <xdr:pic>
      <xdr:nvPicPr>
        <xdr:cNvPr id="18" name="Graphic 17" descr="Register">
          <a:extLst>
            <a:ext uri="{FF2B5EF4-FFF2-40B4-BE49-F238E27FC236}">
              <a16:creationId xmlns:a16="http://schemas.microsoft.com/office/drawing/2014/main" id="{70BAA94E-7792-40BF-AE24-C0F4274FEA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81003" y="3474358"/>
          <a:ext cx="206029" cy="182880"/>
        </a:xfrm>
        <a:prstGeom prst="rect">
          <a:avLst/>
        </a:prstGeom>
      </xdr:spPr>
    </xdr:pic>
    <xdr:clientData/>
  </xdr:twoCellAnchor>
  <xdr:twoCellAnchor editAs="absolute">
    <xdr:from>
      <xdr:col>1</xdr:col>
      <xdr:colOff>158753</xdr:colOff>
      <xdr:row>20</xdr:row>
      <xdr:rowOff>69851</xdr:rowOff>
    </xdr:from>
    <xdr:to>
      <xdr:col>1</xdr:col>
      <xdr:colOff>382575</xdr:colOff>
      <xdr:row>21</xdr:row>
      <xdr:rowOff>68581</xdr:rowOff>
    </xdr:to>
    <xdr:pic>
      <xdr:nvPicPr>
        <xdr:cNvPr id="19" name="Graphic 18" descr="Checklist">
          <a:extLst>
            <a:ext uri="{FF2B5EF4-FFF2-40B4-BE49-F238E27FC236}">
              <a16:creationId xmlns:a16="http://schemas.microsoft.com/office/drawing/2014/main" id="{9D30A5B3-90BB-41D6-A785-22EF184423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81003" y="3752851"/>
          <a:ext cx="223822" cy="182880"/>
        </a:xfrm>
        <a:prstGeom prst="rect">
          <a:avLst/>
        </a:prstGeom>
      </xdr:spPr>
    </xdr:pic>
    <xdr:clientData/>
  </xdr:twoCellAnchor>
  <xdr:twoCellAnchor editAs="absolute">
    <xdr:from>
      <xdr:col>3</xdr:col>
      <xdr:colOff>9071</xdr:colOff>
      <xdr:row>1</xdr:row>
      <xdr:rowOff>0</xdr:rowOff>
    </xdr:from>
    <xdr:to>
      <xdr:col>16</xdr:col>
      <xdr:colOff>568298</xdr:colOff>
      <xdr:row>5</xdr:row>
      <xdr:rowOff>156882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319AEB7B-3A98-4175-9F63-41BD8DDAE42D}"/>
            </a:ext>
          </a:extLst>
        </xdr:cNvPr>
        <xdr:cNvSpPr/>
      </xdr:nvSpPr>
      <xdr:spPr>
        <a:xfrm>
          <a:off x="2133600" y="184150"/>
          <a:ext cx="12333941" cy="893482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IN" sz="2800" b="1" baseline="0"/>
            <a:t>   VENDORS</a:t>
          </a:r>
          <a:endParaRPr lang="en-IN" sz="2800" b="1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340145</xdr:colOff>
      <xdr:row>1</xdr:row>
      <xdr:rowOff>124124</xdr:rowOff>
    </xdr:from>
    <xdr:to>
      <xdr:col>1</xdr:col>
      <xdr:colOff>1254545</xdr:colOff>
      <xdr:row>6</xdr:row>
      <xdr:rowOff>117774</xdr:rowOff>
    </xdr:to>
    <xdr:pic>
      <xdr:nvPicPr>
        <xdr:cNvPr id="2" name="Graphic 1" descr="Bar chart">
          <a:extLst>
            <a:ext uri="{FF2B5EF4-FFF2-40B4-BE49-F238E27FC236}">
              <a16:creationId xmlns:a16="http://schemas.microsoft.com/office/drawing/2014/main" id="{D3CA7721-4486-41D7-B669-AEC314A61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62395" y="308274"/>
          <a:ext cx="914400" cy="914400"/>
        </a:xfrm>
        <a:prstGeom prst="rect">
          <a:avLst/>
        </a:prstGeom>
      </xdr:spPr>
    </xdr:pic>
    <xdr:clientData/>
  </xdr:twoCellAnchor>
  <xdr:twoCellAnchor>
    <xdr:from>
      <xdr:col>1</xdr:col>
      <xdr:colOff>6350</xdr:colOff>
      <xdr:row>7</xdr:row>
      <xdr:rowOff>50800</xdr:rowOff>
    </xdr:from>
    <xdr:to>
      <xdr:col>1</xdr:col>
      <xdr:colOff>1494117</xdr:colOff>
      <xdr:row>9</xdr:row>
      <xdr:rowOff>177800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57905047-7B4B-4E5E-9391-E7136832F985}"/>
            </a:ext>
          </a:extLst>
        </xdr:cNvPr>
        <xdr:cNvSpPr/>
      </xdr:nvSpPr>
      <xdr:spPr>
        <a:xfrm>
          <a:off x="228600" y="1339850"/>
          <a:ext cx="1487767" cy="495300"/>
        </a:xfrm>
        <a:prstGeom prst="rect">
          <a:avLst/>
        </a:prstGeom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950" b="1"/>
            <a:t>INVENTORY MANAGEMENT SYSTEM</a:t>
          </a:r>
        </a:p>
      </xdr:txBody>
    </xdr:sp>
    <xdr:clientData/>
  </xdr:twoCellAnchor>
  <xdr:twoCellAnchor>
    <xdr:from>
      <xdr:col>1</xdr:col>
      <xdr:colOff>654050</xdr:colOff>
      <xdr:row>11</xdr:row>
      <xdr:rowOff>5556</xdr:rowOff>
    </xdr:from>
    <xdr:to>
      <xdr:col>1</xdr:col>
      <xdr:colOff>1587500</xdr:colOff>
      <xdr:row>12</xdr:row>
      <xdr:rowOff>88106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92EA8B8-655A-4BE0-B0B8-F95B73BF012E}"/>
            </a:ext>
          </a:extLst>
        </xdr:cNvPr>
        <xdr:cNvSpPr/>
      </xdr:nvSpPr>
      <xdr:spPr>
        <a:xfrm>
          <a:off x="876300" y="2031206"/>
          <a:ext cx="876300" cy="2667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200" b="1">
              <a:solidFill>
                <a:schemeClr val="bg2">
                  <a:lumMod val="50000"/>
                </a:schemeClr>
              </a:solidFill>
            </a:rPr>
            <a:t>Customers</a:t>
          </a:r>
        </a:p>
      </xdr:txBody>
    </xdr:sp>
    <xdr:clientData/>
  </xdr:twoCellAnchor>
  <xdr:twoCellAnchor>
    <xdr:from>
      <xdr:col>1</xdr:col>
      <xdr:colOff>654050</xdr:colOff>
      <xdr:row>12</xdr:row>
      <xdr:rowOff>93662</xdr:rowOff>
    </xdr:from>
    <xdr:to>
      <xdr:col>1</xdr:col>
      <xdr:colOff>1587500</xdr:colOff>
      <xdr:row>13</xdr:row>
      <xdr:rowOff>176212</xdr:rowOff>
    </xdr:to>
    <xdr:sp macro="" textlink="">
      <xdr:nvSpPr>
        <xdr:cNvPr id="5" name="Rectangle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CCB44CD-9369-4F60-BD4F-DAD278456D59}"/>
            </a:ext>
          </a:extLst>
        </xdr:cNvPr>
        <xdr:cNvSpPr/>
      </xdr:nvSpPr>
      <xdr:spPr>
        <a:xfrm>
          <a:off x="876300" y="2303462"/>
          <a:ext cx="876300" cy="2667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200" b="1">
              <a:solidFill>
                <a:schemeClr val="bg2">
                  <a:lumMod val="50000"/>
                </a:schemeClr>
              </a:solidFill>
            </a:rPr>
            <a:t>Products</a:t>
          </a:r>
        </a:p>
      </xdr:txBody>
    </xdr:sp>
    <xdr:clientData/>
  </xdr:twoCellAnchor>
  <xdr:twoCellAnchor>
    <xdr:from>
      <xdr:col>1</xdr:col>
      <xdr:colOff>654050</xdr:colOff>
      <xdr:row>13</xdr:row>
      <xdr:rowOff>181768</xdr:rowOff>
    </xdr:from>
    <xdr:to>
      <xdr:col>1</xdr:col>
      <xdr:colOff>1587500</xdr:colOff>
      <xdr:row>15</xdr:row>
      <xdr:rowOff>80168</xdr:rowOff>
    </xdr:to>
    <xdr:sp macro="" textlink="">
      <xdr:nvSpPr>
        <xdr:cNvPr id="6" name="Rectangle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09CC9FE-5B7F-460C-B065-68256EFCA40B}"/>
            </a:ext>
          </a:extLst>
        </xdr:cNvPr>
        <xdr:cNvSpPr/>
      </xdr:nvSpPr>
      <xdr:spPr>
        <a:xfrm>
          <a:off x="876300" y="2575718"/>
          <a:ext cx="876300" cy="2667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200" b="1">
              <a:solidFill>
                <a:schemeClr val="bg2">
                  <a:lumMod val="50000"/>
                </a:schemeClr>
              </a:solidFill>
            </a:rPr>
            <a:t>Vendors</a:t>
          </a:r>
        </a:p>
        <a:p>
          <a:pPr algn="l"/>
          <a:endParaRPr lang="en-IN" sz="1200" b="1">
            <a:solidFill>
              <a:schemeClr val="bg2">
                <a:lumMod val="50000"/>
              </a:schemeClr>
            </a:solidFill>
          </a:endParaRPr>
        </a:p>
      </xdr:txBody>
    </xdr:sp>
    <xdr:clientData/>
  </xdr:twoCellAnchor>
  <xdr:twoCellAnchor>
    <xdr:from>
      <xdr:col>1</xdr:col>
      <xdr:colOff>654050</xdr:colOff>
      <xdr:row>15</xdr:row>
      <xdr:rowOff>85724</xdr:rowOff>
    </xdr:from>
    <xdr:to>
      <xdr:col>1</xdr:col>
      <xdr:colOff>1587500</xdr:colOff>
      <xdr:row>16</xdr:row>
      <xdr:rowOff>168274</xdr:rowOff>
    </xdr:to>
    <xdr:sp macro="" textlink="">
      <xdr:nvSpPr>
        <xdr:cNvPr id="7" name="Rectangle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ED197279-D696-4AEA-88B3-C301F6A8FC9A}"/>
            </a:ext>
          </a:extLst>
        </xdr:cNvPr>
        <xdr:cNvSpPr/>
      </xdr:nvSpPr>
      <xdr:spPr>
        <a:xfrm>
          <a:off x="876300" y="2847974"/>
          <a:ext cx="876300" cy="2667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200" b="1">
              <a:solidFill>
                <a:schemeClr val="tx1">
                  <a:lumMod val="95000"/>
                  <a:lumOff val="5000"/>
                </a:schemeClr>
              </a:solidFill>
            </a:rPr>
            <a:t>New Entry</a:t>
          </a:r>
        </a:p>
      </xdr:txBody>
    </xdr:sp>
    <xdr:clientData/>
  </xdr:twoCellAnchor>
  <xdr:twoCellAnchor>
    <xdr:from>
      <xdr:col>1</xdr:col>
      <xdr:colOff>654050</xdr:colOff>
      <xdr:row>16</xdr:row>
      <xdr:rowOff>173830</xdr:rowOff>
    </xdr:from>
    <xdr:to>
      <xdr:col>1</xdr:col>
      <xdr:colOff>1587500</xdr:colOff>
      <xdr:row>18</xdr:row>
      <xdr:rowOff>72230</xdr:rowOff>
    </xdr:to>
    <xdr:sp macro="" textlink="">
      <xdr:nvSpPr>
        <xdr:cNvPr id="8" name="Rectangle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30325D2-5DD2-4CBC-8303-35698B18537F}"/>
            </a:ext>
          </a:extLst>
        </xdr:cNvPr>
        <xdr:cNvSpPr/>
      </xdr:nvSpPr>
      <xdr:spPr>
        <a:xfrm>
          <a:off x="876300" y="3120230"/>
          <a:ext cx="876300" cy="2667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200" b="1">
              <a:solidFill>
                <a:schemeClr val="bg2">
                  <a:lumMod val="50000"/>
                </a:schemeClr>
              </a:solidFill>
            </a:rPr>
            <a:t>Purchase</a:t>
          </a:r>
        </a:p>
      </xdr:txBody>
    </xdr:sp>
    <xdr:clientData/>
  </xdr:twoCellAnchor>
  <xdr:twoCellAnchor>
    <xdr:from>
      <xdr:col>1</xdr:col>
      <xdr:colOff>654050</xdr:colOff>
      <xdr:row>18</xdr:row>
      <xdr:rowOff>77786</xdr:rowOff>
    </xdr:from>
    <xdr:to>
      <xdr:col>1</xdr:col>
      <xdr:colOff>1587500</xdr:colOff>
      <xdr:row>19</xdr:row>
      <xdr:rowOff>160336</xdr:rowOff>
    </xdr:to>
    <xdr:sp macro="" textlink="">
      <xdr:nvSpPr>
        <xdr:cNvPr id="9" name="Rectangle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9709426E-AA6E-4C68-ADB8-5C5009F62870}"/>
            </a:ext>
          </a:extLst>
        </xdr:cNvPr>
        <xdr:cNvSpPr/>
      </xdr:nvSpPr>
      <xdr:spPr>
        <a:xfrm>
          <a:off x="876300" y="3392486"/>
          <a:ext cx="876300" cy="2667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200" b="1">
              <a:solidFill>
                <a:schemeClr val="bg2">
                  <a:lumMod val="50000"/>
                </a:schemeClr>
              </a:solidFill>
            </a:rPr>
            <a:t>Sales</a:t>
          </a:r>
        </a:p>
        <a:p>
          <a:pPr algn="l"/>
          <a:endParaRPr lang="en-IN" sz="1200" b="1">
            <a:solidFill>
              <a:schemeClr val="bg2">
                <a:lumMod val="50000"/>
              </a:schemeClr>
            </a:solidFill>
          </a:endParaRPr>
        </a:p>
      </xdr:txBody>
    </xdr:sp>
    <xdr:clientData/>
  </xdr:twoCellAnchor>
  <xdr:twoCellAnchor>
    <xdr:from>
      <xdr:col>1</xdr:col>
      <xdr:colOff>654050</xdr:colOff>
      <xdr:row>19</xdr:row>
      <xdr:rowOff>165892</xdr:rowOff>
    </xdr:from>
    <xdr:to>
      <xdr:col>1</xdr:col>
      <xdr:colOff>1587500</xdr:colOff>
      <xdr:row>21</xdr:row>
      <xdr:rowOff>64292</xdr:rowOff>
    </xdr:to>
    <xdr:sp macro="" textlink="">
      <xdr:nvSpPr>
        <xdr:cNvPr id="10" name="Rectangle 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13F4B670-7E73-423A-8B89-4D44F1E08D3A}"/>
            </a:ext>
          </a:extLst>
        </xdr:cNvPr>
        <xdr:cNvSpPr/>
      </xdr:nvSpPr>
      <xdr:spPr>
        <a:xfrm>
          <a:off x="876300" y="3664742"/>
          <a:ext cx="876300" cy="2667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200" b="1">
              <a:solidFill>
                <a:schemeClr val="bg2">
                  <a:lumMod val="50000"/>
                </a:schemeClr>
              </a:solidFill>
            </a:rPr>
            <a:t>Inventory</a:t>
          </a:r>
        </a:p>
      </xdr:txBody>
    </xdr:sp>
    <xdr:clientData/>
  </xdr:twoCellAnchor>
  <xdr:twoCellAnchor>
    <xdr:from>
      <xdr:col>1</xdr:col>
      <xdr:colOff>654050</xdr:colOff>
      <xdr:row>9</xdr:row>
      <xdr:rowOff>101600</xdr:rowOff>
    </xdr:from>
    <xdr:to>
      <xdr:col>1</xdr:col>
      <xdr:colOff>1587500</xdr:colOff>
      <xdr:row>11</xdr:row>
      <xdr:rowOff>0</xdr:rowOff>
    </xdr:to>
    <xdr:sp macro="" textlink="">
      <xdr:nvSpPr>
        <xdr:cNvPr id="11" name="Rectangle 1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9767131-7465-43E3-8219-559873CF2AD9}"/>
            </a:ext>
          </a:extLst>
        </xdr:cNvPr>
        <xdr:cNvSpPr/>
      </xdr:nvSpPr>
      <xdr:spPr>
        <a:xfrm>
          <a:off x="876300" y="1758950"/>
          <a:ext cx="876300" cy="2667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200" b="1">
              <a:solidFill>
                <a:schemeClr val="bg2">
                  <a:lumMod val="50000"/>
                </a:schemeClr>
              </a:solidFill>
            </a:rPr>
            <a:t>Dashboard</a:t>
          </a:r>
        </a:p>
        <a:p>
          <a:pPr algn="l"/>
          <a:endParaRPr lang="en-IN" sz="1200" b="1">
            <a:solidFill>
              <a:schemeClr val="bg2">
                <a:lumMod val="50000"/>
              </a:schemeClr>
            </a:solidFill>
          </a:endParaRPr>
        </a:p>
      </xdr:txBody>
    </xdr:sp>
    <xdr:clientData/>
  </xdr:twoCellAnchor>
  <xdr:twoCellAnchor editAs="oneCell">
    <xdr:from>
      <xdr:col>1</xdr:col>
      <xdr:colOff>158753</xdr:colOff>
      <xdr:row>9</xdr:row>
      <xdr:rowOff>146050</xdr:rowOff>
    </xdr:from>
    <xdr:to>
      <xdr:col>1</xdr:col>
      <xdr:colOff>351092</xdr:colOff>
      <xdr:row>10</xdr:row>
      <xdr:rowOff>144780</xdr:rowOff>
    </xdr:to>
    <xdr:pic>
      <xdr:nvPicPr>
        <xdr:cNvPr id="12" name="Graphic 11" descr="Gauge">
          <a:extLst>
            <a:ext uri="{FF2B5EF4-FFF2-40B4-BE49-F238E27FC236}">
              <a16:creationId xmlns:a16="http://schemas.microsoft.com/office/drawing/2014/main" id="{9CA0193A-BCB8-4E3F-A3F6-97EC734274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81003" y="1803400"/>
          <a:ext cx="192339" cy="182880"/>
        </a:xfrm>
        <a:prstGeom prst="rect">
          <a:avLst/>
        </a:prstGeom>
      </xdr:spPr>
    </xdr:pic>
    <xdr:clientData/>
  </xdr:twoCellAnchor>
  <xdr:twoCellAnchor editAs="oneCell">
    <xdr:from>
      <xdr:col>1</xdr:col>
      <xdr:colOff>158753</xdr:colOff>
      <xdr:row>11</xdr:row>
      <xdr:rowOff>56243</xdr:rowOff>
    </xdr:from>
    <xdr:to>
      <xdr:col>1</xdr:col>
      <xdr:colOff>349253</xdr:colOff>
      <xdr:row>12</xdr:row>
      <xdr:rowOff>54973</xdr:rowOff>
    </xdr:to>
    <xdr:pic>
      <xdr:nvPicPr>
        <xdr:cNvPr id="13" name="Graphic 12" descr="Target Audience">
          <a:extLst>
            <a:ext uri="{FF2B5EF4-FFF2-40B4-BE49-F238E27FC236}">
              <a16:creationId xmlns:a16="http://schemas.microsoft.com/office/drawing/2014/main" id="{1B226C8E-41C9-4249-8BE4-6F28602E2D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81003" y="2081893"/>
          <a:ext cx="190500" cy="182880"/>
        </a:xfrm>
        <a:prstGeom prst="rect">
          <a:avLst/>
        </a:prstGeom>
      </xdr:spPr>
    </xdr:pic>
    <xdr:clientData/>
  </xdr:twoCellAnchor>
  <xdr:twoCellAnchor editAs="oneCell">
    <xdr:from>
      <xdr:col>1</xdr:col>
      <xdr:colOff>158753</xdr:colOff>
      <xdr:row>12</xdr:row>
      <xdr:rowOff>150586</xdr:rowOff>
    </xdr:from>
    <xdr:to>
      <xdr:col>1</xdr:col>
      <xdr:colOff>361404</xdr:colOff>
      <xdr:row>13</xdr:row>
      <xdr:rowOff>149316</xdr:rowOff>
    </xdr:to>
    <xdr:pic>
      <xdr:nvPicPr>
        <xdr:cNvPr id="14" name="Graphic 13" descr="Advertising">
          <a:extLst>
            <a:ext uri="{FF2B5EF4-FFF2-40B4-BE49-F238E27FC236}">
              <a16:creationId xmlns:a16="http://schemas.microsoft.com/office/drawing/2014/main" id="{42EC8F1A-1F23-456C-9484-02C7DFDC56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81003" y="2360386"/>
          <a:ext cx="202651" cy="182880"/>
        </a:xfrm>
        <a:prstGeom prst="rect">
          <a:avLst/>
        </a:prstGeom>
      </xdr:spPr>
    </xdr:pic>
    <xdr:clientData/>
  </xdr:twoCellAnchor>
  <xdr:twoCellAnchor editAs="oneCell">
    <xdr:from>
      <xdr:col>1</xdr:col>
      <xdr:colOff>158753</xdr:colOff>
      <xdr:row>14</xdr:row>
      <xdr:rowOff>60779</xdr:rowOff>
    </xdr:from>
    <xdr:to>
      <xdr:col>1</xdr:col>
      <xdr:colOff>355014</xdr:colOff>
      <xdr:row>15</xdr:row>
      <xdr:rowOff>59509</xdr:rowOff>
    </xdr:to>
    <xdr:pic>
      <xdr:nvPicPr>
        <xdr:cNvPr id="15" name="Graphic 14" descr="Kiosk">
          <a:extLst>
            <a:ext uri="{FF2B5EF4-FFF2-40B4-BE49-F238E27FC236}">
              <a16:creationId xmlns:a16="http://schemas.microsoft.com/office/drawing/2014/main" id="{17F38BAE-24CD-4808-96E8-6B52D5476F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81003" y="2638879"/>
          <a:ext cx="196261" cy="182880"/>
        </a:xfrm>
        <a:prstGeom prst="rect">
          <a:avLst/>
        </a:prstGeom>
      </xdr:spPr>
    </xdr:pic>
    <xdr:clientData/>
  </xdr:twoCellAnchor>
  <xdr:twoCellAnchor editAs="oneCell">
    <xdr:from>
      <xdr:col>1</xdr:col>
      <xdr:colOff>158753</xdr:colOff>
      <xdr:row>15</xdr:row>
      <xdr:rowOff>155122</xdr:rowOff>
    </xdr:from>
    <xdr:to>
      <xdr:col>1</xdr:col>
      <xdr:colOff>369966</xdr:colOff>
      <xdr:row>16</xdr:row>
      <xdr:rowOff>153852</xdr:rowOff>
    </xdr:to>
    <xdr:pic>
      <xdr:nvPicPr>
        <xdr:cNvPr id="16" name="Graphic 15" descr="Newspaper">
          <a:extLst>
            <a:ext uri="{FF2B5EF4-FFF2-40B4-BE49-F238E27FC236}">
              <a16:creationId xmlns:a16="http://schemas.microsoft.com/office/drawing/2014/main" id="{CFCE0D09-4F33-47BA-83DA-5033FC2335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81003" y="2917372"/>
          <a:ext cx="211213" cy="182880"/>
        </a:xfrm>
        <a:prstGeom prst="rect">
          <a:avLst/>
        </a:prstGeom>
      </xdr:spPr>
    </xdr:pic>
    <xdr:clientData/>
  </xdr:twoCellAnchor>
  <xdr:twoCellAnchor editAs="oneCell">
    <xdr:from>
      <xdr:col>1</xdr:col>
      <xdr:colOff>158753</xdr:colOff>
      <xdr:row>17</xdr:row>
      <xdr:rowOff>65315</xdr:rowOff>
    </xdr:from>
    <xdr:to>
      <xdr:col>1</xdr:col>
      <xdr:colOff>377728</xdr:colOff>
      <xdr:row>18</xdr:row>
      <xdr:rowOff>64045</xdr:rowOff>
    </xdr:to>
    <xdr:pic>
      <xdr:nvPicPr>
        <xdr:cNvPr id="17" name="Graphic 16" descr="Shopping bag">
          <a:extLst>
            <a:ext uri="{FF2B5EF4-FFF2-40B4-BE49-F238E27FC236}">
              <a16:creationId xmlns:a16="http://schemas.microsoft.com/office/drawing/2014/main" id="{D7A192DC-1DB4-43E2-AFD2-AF53931D92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81003" y="3195865"/>
          <a:ext cx="218975" cy="182880"/>
        </a:xfrm>
        <a:prstGeom prst="rect">
          <a:avLst/>
        </a:prstGeom>
      </xdr:spPr>
    </xdr:pic>
    <xdr:clientData/>
  </xdr:twoCellAnchor>
  <xdr:twoCellAnchor editAs="oneCell">
    <xdr:from>
      <xdr:col>1</xdr:col>
      <xdr:colOff>158753</xdr:colOff>
      <xdr:row>18</xdr:row>
      <xdr:rowOff>159658</xdr:rowOff>
    </xdr:from>
    <xdr:to>
      <xdr:col>1</xdr:col>
      <xdr:colOff>364782</xdr:colOff>
      <xdr:row>19</xdr:row>
      <xdr:rowOff>158388</xdr:rowOff>
    </xdr:to>
    <xdr:pic>
      <xdr:nvPicPr>
        <xdr:cNvPr id="18" name="Graphic 17" descr="Register">
          <a:extLst>
            <a:ext uri="{FF2B5EF4-FFF2-40B4-BE49-F238E27FC236}">
              <a16:creationId xmlns:a16="http://schemas.microsoft.com/office/drawing/2014/main" id="{50B2CAF3-DD39-461D-A09D-D7C4D0D1DF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81003" y="3474358"/>
          <a:ext cx="206029" cy="182880"/>
        </a:xfrm>
        <a:prstGeom prst="rect">
          <a:avLst/>
        </a:prstGeom>
      </xdr:spPr>
    </xdr:pic>
    <xdr:clientData/>
  </xdr:twoCellAnchor>
  <xdr:twoCellAnchor editAs="oneCell">
    <xdr:from>
      <xdr:col>1</xdr:col>
      <xdr:colOff>158753</xdr:colOff>
      <xdr:row>20</xdr:row>
      <xdr:rowOff>69851</xdr:rowOff>
    </xdr:from>
    <xdr:to>
      <xdr:col>1</xdr:col>
      <xdr:colOff>382575</xdr:colOff>
      <xdr:row>21</xdr:row>
      <xdr:rowOff>68581</xdr:rowOff>
    </xdr:to>
    <xdr:pic>
      <xdr:nvPicPr>
        <xdr:cNvPr id="19" name="Graphic 18" descr="Checklist">
          <a:extLst>
            <a:ext uri="{FF2B5EF4-FFF2-40B4-BE49-F238E27FC236}">
              <a16:creationId xmlns:a16="http://schemas.microsoft.com/office/drawing/2014/main" id="{EDAB6107-65E6-4A22-A98E-F56A3943F9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81003" y="3752851"/>
          <a:ext cx="223822" cy="182880"/>
        </a:xfrm>
        <a:prstGeom prst="rect">
          <a:avLst/>
        </a:prstGeom>
      </xdr:spPr>
    </xdr:pic>
    <xdr:clientData/>
  </xdr:twoCellAnchor>
  <xdr:twoCellAnchor>
    <xdr:from>
      <xdr:col>2</xdr:col>
      <xdr:colOff>381000</xdr:colOff>
      <xdr:row>1</xdr:row>
      <xdr:rowOff>0</xdr:rowOff>
    </xdr:from>
    <xdr:to>
      <xdr:col>22</xdr:col>
      <xdr:colOff>522941</xdr:colOff>
      <xdr:row>5</xdr:row>
      <xdr:rowOff>156882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6C940F1D-8392-410B-A56E-85506433D91D}"/>
            </a:ext>
          </a:extLst>
        </xdr:cNvPr>
        <xdr:cNvSpPr/>
      </xdr:nvSpPr>
      <xdr:spPr>
        <a:xfrm>
          <a:off x="2133600" y="184150"/>
          <a:ext cx="12333941" cy="893482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IN" sz="2800" b="1" baseline="0"/>
            <a:t>   NEW ENTRY</a:t>
          </a:r>
          <a:endParaRPr lang="en-IN" sz="2800" b="1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340145</xdr:colOff>
      <xdr:row>1</xdr:row>
      <xdr:rowOff>124124</xdr:rowOff>
    </xdr:from>
    <xdr:to>
      <xdr:col>1</xdr:col>
      <xdr:colOff>1254545</xdr:colOff>
      <xdr:row>6</xdr:row>
      <xdr:rowOff>117774</xdr:rowOff>
    </xdr:to>
    <xdr:pic>
      <xdr:nvPicPr>
        <xdr:cNvPr id="2" name="Graphic 1" descr="Bar chart">
          <a:extLst>
            <a:ext uri="{FF2B5EF4-FFF2-40B4-BE49-F238E27FC236}">
              <a16:creationId xmlns:a16="http://schemas.microsoft.com/office/drawing/2014/main" id="{53E52EEE-555A-4487-8455-C5116289C4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62395" y="308274"/>
          <a:ext cx="914400" cy="914400"/>
        </a:xfrm>
        <a:prstGeom prst="rect">
          <a:avLst/>
        </a:prstGeom>
      </xdr:spPr>
    </xdr:pic>
    <xdr:clientData/>
  </xdr:twoCellAnchor>
  <xdr:twoCellAnchor>
    <xdr:from>
      <xdr:col>1</xdr:col>
      <xdr:colOff>6350</xdr:colOff>
      <xdr:row>7</xdr:row>
      <xdr:rowOff>50800</xdr:rowOff>
    </xdr:from>
    <xdr:to>
      <xdr:col>1</xdr:col>
      <xdr:colOff>1494117</xdr:colOff>
      <xdr:row>9</xdr:row>
      <xdr:rowOff>177800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BC62D48F-3BED-4994-85B4-BCA1FF6412A0}"/>
            </a:ext>
          </a:extLst>
        </xdr:cNvPr>
        <xdr:cNvSpPr/>
      </xdr:nvSpPr>
      <xdr:spPr>
        <a:xfrm>
          <a:off x="228600" y="1339850"/>
          <a:ext cx="1487767" cy="495300"/>
        </a:xfrm>
        <a:prstGeom prst="rect">
          <a:avLst/>
        </a:prstGeom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950" b="1"/>
            <a:t>INVENTORY MANAGEMENT SYSTEM</a:t>
          </a:r>
        </a:p>
      </xdr:txBody>
    </xdr:sp>
    <xdr:clientData/>
  </xdr:twoCellAnchor>
  <xdr:twoCellAnchor editAs="absolute">
    <xdr:from>
      <xdr:col>1</xdr:col>
      <xdr:colOff>654050</xdr:colOff>
      <xdr:row>11</xdr:row>
      <xdr:rowOff>5556</xdr:rowOff>
    </xdr:from>
    <xdr:to>
      <xdr:col>1</xdr:col>
      <xdr:colOff>1530350</xdr:colOff>
      <xdr:row>12</xdr:row>
      <xdr:rowOff>88106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8E9708A-C426-4C84-966C-86CA5DB0AD7B}"/>
            </a:ext>
          </a:extLst>
        </xdr:cNvPr>
        <xdr:cNvSpPr/>
      </xdr:nvSpPr>
      <xdr:spPr>
        <a:xfrm>
          <a:off x="876300" y="2031206"/>
          <a:ext cx="876300" cy="2667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200" b="1">
              <a:solidFill>
                <a:schemeClr val="bg2">
                  <a:lumMod val="50000"/>
                </a:schemeClr>
              </a:solidFill>
            </a:rPr>
            <a:t>Customers</a:t>
          </a:r>
        </a:p>
      </xdr:txBody>
    </xdr:sp>
    <xdr:clientData/>
  </xdr:twoCellAnchor>
  <xdr:twoCellAnchor editAs="absolute">
    <xdr:from>
      <xdr:col>1</xdr:col>
      <xdr:colOff>654050</xdr:colOff>
      <xdr:row>12</xdr:row>
      <xdr:rowOff>93662</xdr:rowOff>
    </xdr:from>
    <xdr:to>
      <xdr:col>1</xdr:col>
      <xdr:colOff>1530350</xdr:colOff>
      <xdr:row>13</xdr:row>
      <xdr:rowOff>176212</xdr:rowOff>
    </xdr:to>
    <xdr:sp macro="" textlink="">
      <xdr:nvSpPr>
        <xdr:cNvPr id="5" name="Rectangle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64E9800-9507-4D26-8F96-C5581D5D3C6A}"/>
            </a:ext>
          </a:extLst>
        </xdr:cNvPr>
        <xdr:cNvSpPr/>
      </xdr:nvSpPr>
      <xdr:spPr>
        <a:xfrm>
          <a:off x="876300" y="2303462"/>
          <a:ext cx="876300" cy="2667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200" b="1">
              <a:solidFill>
                <a:schemeClr val="bg2">
                  <a:lumMod val="50000"/>
                </a:schemeClr>
              </a:solidFill>
            </a:rPr>
            <a:t>Products</a:t>
          </a:r>
        </a:p>
      </xdr:txBody>
    </xdr:sp>
    <xdr:clientData/>
  </xdr:twoCellAnchor>
  <xdr:twoCellAnchor editAs="absolute">
    <xdr:from>
      <xdr:col>1</xdr:col>
      <xdr:colOff>654050</xdr:colOff>
      <xdr:row>14</xdr:row>
      <xdr:rowOff>339</xdr:rowOff>
    </xdr:from>
    <xdr:to>
      <xdr:col>1</xdr:col>
      <xdr:colOff>1530350</xdr:colOff>
      <xdr:row>15</xdr:row>
      <xdr:rowOff>80168</xdr:rowOff>
    </xdr:to>
    <xdr:sp macro="" textlink="">
      <xdr:nvSpPr>
        <xdr:cNvPr id="6" name="Rectangle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6C91322-4E3C-48BD-8294-16FA6B9DCC56}"/>
            </a:ext>
          </a:extLst>
        </xdr:cNvPr>
        <xdr:cNvSpPr/>
      </xdr:nvSpPr>
      <xdr:spPr>
        <a:xfrm>
          <a:off x="876300" y="2575718"/>
          <a:ext cx="876300" cy="2667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200" b="1">
              <a:solidFill>
                <a:schemeClr val="bg2">
                  <a:lumMod val="50000"/>
                </a:schemeClr>
              </a:solidFill>
            </a:rPr>
            <a:t>Vendors</a:t>
          </a:r>
        </a:p>
        <a:p>
          <a:pPr algn="l"/>
          <a:endParaRPr lang="en-IN" sz="1200" b="1">
            <a:solidFill>
              <a:schemeClr val="bg2">
                <a:lumMod val="50000"/>
              </a:schemeClr>
            </a:solidFill>
          </a:endParaRPr>
        </a:p>
      </xdr:txBody>
    </xdr:sp>
    <xdr:clientData/>
  </xdr:twoCellAnchor>
  <xdr:twoCellAnchor editAs="absolute">
    <xdr:from>
      <xdr:col>1</xdr:col>
      <xdr:colOff>654050</xdr:colOff>
      <xdr:row>15</xdr:row>
      <xdr:rowOff>85724</xdr:rowOff>
    </xdr:from>
    <xdr:to>
      <xdr:col>1</xdr:col>
      <xdr:colOff>1530350</xdr:colOff>
      <xdr:row>16</xdr:row>
      <xdr:rowOff>168274</xdr:rowOff>
    </xdr:to>
    <xdr:sp macro="" textlink="">
      <xdr:nvSpPr>
        <xdr:cNvPr id="7" name="Rectangle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9425CB38-F740-4FF1-9966-ABDE15C7F5F9}"/>
            </a:ext>
          </a:extLst>
        </xdr:cNvPr>
        <xdr:cNvSpPr/>
      </xdr:nvSpPr>
      <xdr:spPr>
        <a:xfrm>
          <a:off x="876300" y="2847974"/>
          <a:ext cx="876300" cy="2667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200" b="1">
              <a:solidFill>
                <a:schemeClr val="bg2">
                  <a:lumMod val="50000"/>
                </a:schemeClr>
              </a:solidFill>
            </a:rPr>
            <a:t>New Entry</a:t>
          </a:r>
        </a:p>
      </xdr:txBody>
    </xdr:sp>
    <xdr:clientData/>
  </xdr:twoCellAnchor>
  <xdr:twoCellAnchor editAs="absolute">
    <xdr:from>
      <xdr:col>1</xdr:col>
      <xdr:colOff>654050</xdr:colOff>
      <xdr:row>16</xdr:row>
      <xdr:rowOff>173830</xdr:rowOff>
    </xdr:from>
    <xdr:to>
      <xdr:col>1</xdr:col>
      <xdr:colOff>1530350</xdr:colOff>
      <xdr:row>18</xdr:row>
      <xdr:rowOff>72230</xdr:rowOff>
    </xdr:to>
    <xdr:sp macro="" textlink="">
      <xdr:nvSpPr>
        <xdr:cNvPr id="8" name="Rectangle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BEF583C-85FE-48E3-9A8B-C8ED20339615}"/>
            </a:ext>
          </a:extLst>
        </xdr:cNvPr>
        <xdr:cNvSpPr/>
      </xdr:nvSpPr>
      <xdr:spPr>
        <a:xfrm>
          <a:off x="876300" y="3120230"/>
          <a:ext cx="876300" cy="2667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200" b="1">
              <a:solidFill>
                <a:schemeClr val="tx1"/>
              </a:solidFill>
            </a:rPr>
            <a:t>Purchase</a:t>
          </a:r>
        </a:p>
      </xdr:txBody>
    </xdr:sp>
    <xdr:clientData/>
  </xdr:twoCellAnchor>
  <xdr:twoCellAnchor editAs="absolute">
    <xdr:from>
      <xdr:col>1</xdr:col>
      <xdr:colOff>654050</xdr:colOff>
      <xdr:row>18</xdr:row>
      <xdr:rowOff>77786</xdr:rowOff>
    </xdr:from>
    <xdr:to>
      <xdr:col>1</xdr:col>
      <xdr:colOff>1530350</xdr:colOff>
      <xdr:row>19</xdr:row>
      <xdr:rowOff>160336</xdr:rowOff>
    </xdr:to>
    <xdr:sp macro="" textlink="">
      <xdr:nvSpPr>
        <xdr:cNvPr id="9" name="Rectangle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52CBB4DD-869E-4D26-AE37-4BD302270D8D}"/>
            </a:ext>
          </a:extLst>
        </xdr:cNvPr>
        <xdr:cNvSpPr/>
      </xdr:nvSpPr>
      <xdr:spPr>
        <a:xfrm>
          <a:off x="876300" y="3392486"/>
          <a:ext cx="876300" cy="2667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200" b="1">
              <a:solidFill>
                <a:schemeClr val="bg2">
                  <a:lumMod val="50000"/>
                </a:schemeClr>
              </a:solidFill>
            </a:rPr>
            <a:t>Sales</a:t>
          </a:r>
        </a:p>
        <a:p>
          <a:pPr algn="l"/>
          <a:endParaRPr lang="en-IN" sz="1200" b="1">
            <a:solidFill>
              <a:schemeClr val="bg2">
                <a:lumMod val="50000"/>
              </a:schemeClr>
            </a:solidFill>
          </a:endParaRPr>
        </a:p>
      </xdr:txBody>
    </xdr:sp>
    <xdr:clientData/>
  </xdr:twoCellAnchor>
  <xdr:twoCellAnchor editAs="absolute">
    <xdr:from>
      <xdr:col>1</xdr:col>
      <xdr:colOff>654050</xdr:colOff>
      <xdr:row>19</xdr:row>
      <xdr:rowOff>165892</xdr:rowOff>
    </xdr:from>
    <xdr:to>
      <xdr:col>1</xdr:col>
      <xdr:colOff>1530350</xdr:colOff>
      <xdr:row>21</xdr:row>
      <xdr:rowOff>64292</xdr:rowOff>
    </xdr:to>
    <xdr:sp macro="" textlink="">
      <xdr:nvSpPr>
        <xdr:cNvPr id="10" name="Rectangle 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33626FD6-9C40-4D0A-A793-54D62C2962E3}"/>
            </a:ext>
          </a:extLst>
        </xdr:cNvPr>
        <xdr:cNvSpPr/>
      </xdr:nvSpPr>
      <xdr:spPr>
        <a:xfrm>
          <a:off x="876300" y="3664742"/>
          <a:ext cx="876300" cy="2667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200" b="1">
              <a:solidFill>
                <a:schemeClr val="bg2">
                  <a:lumMod val="50000"/>
                </a:schemeClr>
              </a:solidFill>
            </a:rPr>
            <a:t>Inventory</a:t>
          </a:r>
        </a:p>
      </xdr:txBody>
    </xdr:sp>
    <xdr:clientData/>
  </xdr:twoCellAnchor>
  <xdr:twoCellAnchor editAs="absolute">
    <xdr:from>
      <xdr:col>1</xdr:col>
      <xdr:colOff>654050</xdr:colOff>
      <xdr:row>9</xdr:row>
      <xdr:rowOff>101600</xdr:rowOff>
    </xdr:from>
    <xdr:to>
      <xdr:col>1</xdr:col>
      <xdr:colOff>1530350</xdr:colOff>
      <xdr:row>11</xdr:row>
      <xdr:rowOff>0</xdr:rowOff>
    </xdr:to>
    <xdr:sp macro="" textlink="">
      <xdr:nvSpPr>
        <xdr:cNvPr id="11" name="Rectangle 1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DCC10410-CD3A-4E85-A39D-2598614A5EAE}"/>
            </a:ext>
          </a:extLst>
        </xdr:cNvPr>
        <xdr:cNvSpPr/>
      </xdr:nvSpPr>
      <xdr:spPr>
        <a:xfrm>
          <a:off x="876300" y="1758950"/>
          <a:ext cx="876300" cy="2667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200" b="1">
              <a:solidFill>
                <a:schemeClr val="bg2">
                  <a:lumMod val="50000"/>
                </a:schemeClr>
              </a:solidFill>
            </a:rPr>
            <a:t>Dashboard</a:t>
          </a:r>
        </a:p>
        <a:p>
          <a:pPr algn="l"/>
          <a:endParaRPr lang="en-IN" sz="1200" b="1">
            <a:solidFill>
              <a:schemeClr val="bg2">
                <a:lumMod val="50000"/>
              </a:schemeClr>
            </a:solidFill>
          </a:endParaRPr>
        </a:p>
      </xdr:txBody>
    </xdr:sp>
    <xdr:clientData/>
  </xdr:twoCellAnchor>
  <xdr:twoCellAnchor editAs="absolute">
    <xdr:from>
      <xdr:col>1</xdr:col>
      <xdr:colOff>158753</xdr:colOff>
      <xdr:row>9</xdr:row>
      <xdr:rowOff>146050</xdr:rowOff>
    </xdr:from>
    <xdr:to>
      <xdr:col>1</xdr:col>
      <xdr:colOff>351092</xdr:colOff>
      <xdr:row>10</xdr:row>
      <xdr:rowOff>144780</xdr:rowOff>
    </xdr:to>
    <xdr:pic>
      <xdr:nvPicPr>
        <xdr:cNvPr id="12" name="Graphic 11" descr="Gauge">
          <a:extLst>
            <a:ext uri="{FF2B5EF4-FFF2-40B4-BE49-F238E27FC236}">
              <a16:creationId xmlns:a16="http://schemas.microsoft.com/office/drawing/2014/main" id="{67C4835C-92DB-49EF-9ACC-48DEBE5AED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81003" y="1803400"/>
          <a:ext cx="192339" cy="182880"/>
        </a:xfrm>
        <a:prstGeom prst="rect">
          <a:avLst/>
        </a:prstGeom>
      </xdr:spPr>
    </xdr:pic>
    <xdr:clientData/>
  </xdr:twoCellAnchor>
  <xdr:twoCellAnchor editAs="absolute">
    <xdr:from>
      <xdr:col>1</xdr:col>
      <xdr:colOff>158753</xdr:colOff>
      <xdr:row>11</xdr:row>
      <xdr:rowOff>56243</xdr:rowOff>
    </xdr:from>
    <xdr:to>
      <xdr:col>1</xdr:col>
      <xdr:colOff>349253</xdr:colOff>
      <xdr:row>12</xdr:row>
      <xdr:rowOff>54973</xdr:rowOff>
    </xdr:to>
    <xdr:pic>
      <xdr:nvPicPr>
        <xdr:cNvPr id="13" name="Graphic 12" descr="Target Audience">
          <a:extLst>
            <a:ext uri="{FF2B5EF4-FFF2-40B4-BE49-F238E27FC236}">
              <a16:creationId xmlns:a16="http://schemas.microsoft.com/office/drawing/2014/main" id="{786BA9FB-19FF-4641-AA3B-C60BAC3B1D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81003" y="2081893"/>
          <a:ext cx="190500" cy="182880"/>
        </a:xfrm>
        <a:prstGeom prst="rect">
          <a:avLst/>
        </a:prstGeom>
      </xdr:spPr>
    </xdr:pic>
    <xdr:clientData/>
  </xdr:twoCellAnchor>
  <xdr:twoCellAnchor editAs="oneCell">
    <xdr:from>
      <xdr:col>1</xdr:col>
      <xdr:colOff>158753</xdr:colOff>
      <xdr:row>12</xdr:row>
      <xdr:rowOff>150586</xdr:rowOff>
    </xdr:from>
    <xdr:to>
      <xdr:col>1</xdr:col>
      <xdr:colOff>361404</xdr:colOff>
      <xdr:row>13</xdr:row>
      <xdr:rowOff>149316</xdr:rowOff>
    </xdr:to>
    <xdr:pic>
      <xdr:nvPicPr>
        <xdr:cNvPr id="14" name="Graphic 13" descr="Advertising">
          <a:extLst>
            <a:ext uri="{FF2B5EF4-FFF2-40B4-BE49-F238E27FC236}">
              <a16:creationId xmlns:a16="http://schemas.microsoft.com/office/drawing/2014/main" id="{5EE45806-FBDA-4206-89F0-2A99AC37F4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81003" y="2360386"/>
          <a:ext cx="202651" cy="182880"/>
        </a:xfrm>
        <a:prstGeom prst="rect">
          <a:avLst/>
        </a:prstGeom>
      </xdr:spPr>
    </xdr:pic>
    <xdr:clientData/>
  </xdr:twoCellAnchor>
  <xdr:twoCellAnchor editAs="absolute">
    <xdr:from>
      <xdr:col>1</xdr:col>
      <xdr:colOff>158753</xdr:colOff>
      <xdr:row>14</xdr:row>
      <xdr:rowOff>60779</xdr:rowOff>
    </xdr:from>
    <xdr:to>
      <xdr:col>1</xdr:col>
      <xdr:colOff>355014</xdr:colOff>
      <xdr:row>15</xdr:row>
      <xdr:rowOff>59509</xdr:rowOff>
    </xdr:to>
    <xdr:pic>
      <xdr:nvPicPr>
        <xdr:cNvPr id="15" name="Graphic 14" descr="Kiosk">
          <a:extLst>
            <a:ext uri="{FF2B5EF4-FFF2-40B4-BE49-F238E27FC236}">
              <a16:creationId xmlns:a16="http://schemas.microsoft.com/office/drawing/2014/main" id="{EFCC4157-088F-42DD-92FC-1ED6659A1C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81003" y="2638879"/>
          <a:ext cx="196261" cy="182880"/>
        </a:xfrm>
        <a:prstGeom prst="rect">
          <a:avLst/>
        </a:prstGeom>
      </xdr:spPr>
    </xdr:pic>
    <xdr:clientData/>
  </xdr:twoCellAnchor>
  <xdr:twoCellAnchor editAs="absolute">
    <xdr:from>
      <xdr:col>1</xdr:col>
      <xdr:colOff>158753</xdr:colOff>
      <xdr:row>15</xdr:row>
      <xdr:rowOff>155122</xdr:rowOff>
    </xdr:from>
    <xdr:to>
      <xdr:col>1</xdr:col>
      <xdr:colOff>369966</xdr:colOff>
      <xdr:row>16</xdr:row>
      <xdr:rowOff>153852</xdr:rowOff>
    </xdr:to>
    <xdr:pic>
      <xdr:nvPicPr>
        <xdr:cNvPr id="16" name="Graphic 15" descr="Newspaper">
          <a:extLst>
            <a:ext uri="{FF2B5EF4-FFF2-40B4-BE49-F238E27FC236}">
              <a16:creationId xmlns:a16="http://schemas.microsoft.com/office/drawing/2014/main" id="{7F868B1A-2B30-410F-87E0-8E92738CD1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81003" y="2917372"/>
          <a:ext cx="211213" cy="182880"/>
        </a:xfrm>
        <a:prstGeom prst="rect">
          <a:avLst/>
        </a:prstGeom>
      </xdr:spPr>
    </xdr:pic>
    <xdr:clientData/>
  </xdr:twoCellAnchor>
  <xdr:twoCellAnchor editAs="absolute">
    <xdr:from>
      <xdr:col>1</xdr:col>
      <xdr:colOff>158753</xdr:colOff>
      <xdr:row>17</xdr:row>
      <xdr:rowOff>65315</xdr:rowOff>
    </xdr:from>
    <xdr:to>
      <xdr:col>1</xdr:col>
      <xdr:colOff>377728</xdr:colOff>
      <xdr:row>18</xdr:row>
      <xdr:rowOff>64045</xdr:rowOff>
    </xdr:to>
    <xdr:pic>
      <xdr:nvPicPr>
        <xdr:cNvPr id="17" name="Graphic 16" descr="Shopping bag">
          <a:extLst>
            <a:ext uri="{FF2B5EF4-FFF2-40B4-BE49-F238E27FC236}">
              <a16:creationId xmlns:a16="http://schemas.microsoft.com/office/drawing/2014/main" id="{25126DFF-C6B9-4260-A352-DDB7900845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81003" y="3195865"/>
          <a:ext cx="218975" cy="182880"/>
        </a:xfrm>
        <a:prstGeom prst="rect">
          <a:avLst/>
        </a:prstGeom>
      </xdr:spPr>
    </xdr:pic>
    <xdr:clientData/>
  </xdr:twoCellAnchor>
  <xdr:twoCellAnchor editAs="absolute">
    <xdr:from>
      <xdr:col>1</xdr:col>
      <xdr:colOff>158753</xdr:colOff>
      <xdr:row>18</xdr:row>
      <xdr:rowOff>159658</xdr:rowOff>
    </xdr:from>
    <xdr:to>
      <xdr:col>1</xdr:col>
      <xdr:colOff>364782</xdr:colOff>
      <xdr:row>19</xdr:row>
      <xdr:rowOff>158388</xdr:rowOff>
    </xdr:to>
    <xdr:pic>
      <xdr:nvPicPr>
        <xdr:cNvPr id="18" name="Graphic 17" descr="Register">
          <a:extLst>
            <a:ext uri="{FF2B5EF4-FFF2-40B4-BE49-F238E27FC236}">
              <a16:creationId xmlns:a16="http://schemas.microsoft.com/office/drawing/2014/main" id="{8E499BBE-4EAB-4282-B7CB-335FA95786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81003" y="3474358"/>
          <a:ext cx="206029" cy="182880"/>
        </a:xfrm>
        <a:prstGeom prst="rect">
          <a:avLst/>
        </a:prstGeom>
      </xdr:spPr>
    </xdr:pic>
    <xdr:clientData/>
  </xdr:twoCellAnchor>
  <xdr:twoCellAnchor editAs="absolute">
    <xdr:from>
      <xdr:col>1</xdr:col>
      <xdr:colOff>158753</xdr:colOff>
      <xdr:row>20</xdr:row>
      <xdr:rowOff>69851</xdr:rowOff>
    </xdr:from>
    <xdr:to>
      <xdr:col>1</xdr:col>
      <xdr:colOff>382575</xdr:colOff>
      <xdr:row>21</xdr:row>
      <xdr:rowOff>68581</xdr:rowOff>
    </xdr:to>
    <xdr:pic>
      <xdr:nvPicPr>
        <xdr:cNvPr id="19" name="Graphic 18" descr="Checklist">
          <a:extLst>
            <a:ext uri="{FF2B5EF4-FFF2-40B4-BE49-F238E27FC236}">
              <a16:creationId xmlns:a16="http://schemas.microsoft.com/office/drawing/2014/main" id="{13E3F8BC-D602-43D0-B333-9C0E2EBEAA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81003" y="3752851"/>
          <a:ext cx="223822" cy="182880"/>
        </a:xfrm>
        <a:prstGeom prst="rect">
          <a:avLst/>
        </a:prstGeom>
      </xdr:spPr>
    </xdr:pic>
    <xdr:clientData/>
  </xdr:twoCellAnchor>
  <xdr:twoCellAnchor editAs="absolute">
    <xdr:from>
      <xdr:col>2</xdr:col>
      <xdr:colOff>379186</xdr:colOff>
      <xdr:row>1</xdr:row>
      <xdr:rowOff>0</xdr:rowOff>
    </xdr:from>
    <xdr:to>
      <xdr:col>19</xdr:col>
      <xdr:colOff>593698</xdr:colOff>
      <xdr:row>5</xdr:row>
      <xdr:rowOff>156882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D9C64A10-F3A3-4D32-9806-0CD6CA8A3DA0}"/>
            </a:ext>
          </a:extLst>
        </xdr:cNvPr>
        <xdr:cNvSpPr/>
      </xdr:nvSpPr>
      <xdr:spPr>
        <a:xfrm>
          <a:off x="2133600" y="184150"/>
          <a:ext cx="12333941" cy="893482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IN" sz="2800" b="1" baseline="0"/>
            <a:t>   PURCHASE</a:t>
          </a:r>
          <a:endParaRPr lang="en-IN" sz="2800" b="1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340145</xdr:colOff>
      <xdr:row>1</xdr:row>
      <xdr:rowOff>124124</xdr:rowOff>
    </xdr:from>
    <xdr:to>
      <xdr:col>1</xdr:col>
      <xdr:colOff>1254545</xdr:colOff>
      <xdr:row>6</xdr:row>
      <xdr:rowOff>117774</xdr:rowOff>
    </xdr:to>
    <xdr:pic>
      <xdr:nvPicPr>
        <xdr:cNvPr id="2" name="Graphic 1" descr="Bar chart">
          <a:extLst>
            <a:ext uri="{FF2B5EF4-FFF2-40B4-BE49-F238E27FC236}">
              <a16:creationId xmlns:a16="http://schemas.microsoft.com/office/drawing/2014/main" id="{7A1DECA0-289D-46EA-9E9F-5CE177173D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62395" y="308274"/>
          <a:ext cx="914400" cy="914400"/>
        </a:xfrm>
        <a:prstGeom prst="rect">
          <a:avLst/>
        </a:prstGeom>
      </xdr:spPr>
    </xdr:pic>
    <xdr:clientData/>
  </xdr:twoCellAnchor>
  <xdr:twoCellAnchor>
    <xdr:from>
      <xdr:col>1</xdr:col>
      <xdr:colOff>6350</xdr:colOff>
      <xdr:row>7</xdr:row>
      <xdr:rowOff>50800</xdr:rowOff>
    </xdr:from>
    <xdr:to>
      <xdr:col>1</xdr:col>
      <xdr:colOff>1494117</xdr:colOff>
      <xdr:row>9</xdr:row>
      <xdr:rowOff>177800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11122F4A-562C-4C33-9117-D23F07F51793}"/>
            </a:ext>
          </a:extLst>
        </xdr:cNvPr>
        <xdr:cNvSpPr/>
      </xdr:nvSpPr>
      <xdr:spPr>
        <a:xfrm>
          <a:off x="228600" y="1339850"/>
          <a:ext cx="1487767" cy="495300"/>
        </a:xfrm>
        <a:prstGeom prst="rect">
          <a:avLst/>
        </a:prstGeom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950" b="1"/>
            <a:t>INVENTORY MANAGEMENT SYSTEM</a:t>
          </a:r>
        </a:p>
      </xdr:txBody>
    </xdr:sp>
    <xdr:clientData/>
  </xdr:twoCellAnchor>
  <xdr:twoCellAnchor>
    <xdr:from>
      <xdr:col>1</xdr:col>
      <xdr:colOff>654050</xdr:colOff>
      <xdr:row>11</xdr:row>
      <xdr:rowOff>5556</xdr:rowOff>
    </xdr:from>
    <xdr:to>
      <xdr:col>1</xdr:col>
      <xdr:colOff>1587500</xdr:colOff>
      <xdr:row>12</xdr:row>
      <xdr:rowOff>88106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16EF494-8C47-4E6F-991C-E3C4906ACF5A}"/>
            </a:ext>
          </a:extLst>
        </xdr:cNvPr>
        <xdr:cNvSpPr/>
      </xdr:nvSpPr>
      <xdr:spPr>
        <a:xfrm>
          <a:off x="876300" y="2031206"/>
          <a:ext cx="876300" cy="2667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200" b="1">
              <a:solidFill>
                <a:schemeClr val="bg2">
                  <a:lumMod val="50000"/>
                </a:schemeClr>
              </a:solidFill>
            </a:rPr>
            <a:t>Customers</a:t>
          </a:r>
        </a:p>
      </xdr:txBody>
    </xdr:sp>
    <xdr:clientData/>
  </xdr:twoCellAnchor>
  <xdr:twoCellAnchor>
    <xdr:from>
      <xdr:col>1</xdr:col>
      <xdr:colOff>654050</xdr:colOff>
      <xdr:row>12</xdr:row>
      <xdr:rowOff>93662</xdr:rowOff>
    </xdr:from>
    <xdr:to>
      <xdr:col>1</xdr:col>
      <xdr:colOff>1587500</xdr:colOff>
      <xdr:row>13</xdr:row>
      <xdr:rowOff>176212</xdr:rowOff>
    </xdr:to>
    <xdr:sp macro="" textlink="">
      <xdr:nvSpPr>
        <xdr:cNvPr id="5" name="Rectangle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D3C58F2-D0D6-4369-A9CE-19C181672576}"/>
            </a:ext>
          </a:extLst>
        </xdr:cNvPr>
        <xdr:cNvSpPr/>
      </xdr:nvSpPr>
      <xdr:spPr>
        <a:xfrm>
          <a:off x="876300" y="2303462"/>
          <a:ext cx="876300" cy="2667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200" b="1">
              <a:solidFill>
                <a:schemeClr val="bg2">
                  <a:lumMod val="50000"/>
                </a:schemeClr>
              </a:solidFill>
            </a:rPr>
            <a:t>Products</a:t>
          </a:r>
        </a:p>
      </xdr:txBody>
    </xdr:sp>
    <xdr:clientData/>
  </xdr:twoCellAnchor>
  <xdr:twoCellAnchor>
    <xdr:from>
      <xdr:col>1</xdr:col>
      <xdr:colOff>654050</xdr:colOff>
      <xdr:row>13</xdr:row>
      <xdr:rowOff>181768</xdr:rowOff>
    </xdr:from>
    <xdr:to>
      <xdr:col>1</xdr:col>
      <xdr:colOff>1587500</xdr:colOff>
      <xdr:row>15</xdr:row>
      <xdr:rowOff>80168</xdr:rowOff>
    </xdr:to>
    <xdr:sp macro="" textlink="">
      <xdr:nvSpPr>
        <xdr:cNvPr id="6" name="Rectangle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BA0D76C-0849-4633-A439-6D9914CBEB94}"/>
            </a:ext>
          </a:extLst>
        </xdr:cNvPr>
        <xdr:cNvSpPr/>
      </xdr:nvSpPr>
      <xdr:spPr>
        <a:xfrm>
          <a:off x="876300" y="2575718"/>
          <a:ext cx="876300" cy="2667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200" b="1">
              <a:solidFill>
                <a:schemeClr val="bg2">
                  <a:lumMod val="50000"/>
                </a:schemeClr>
              </a:solidFill>
            </a:rPr>
            <a:t>Vendors</a:t>
          </a:r>
        </a:p>
        <a:p>
          <a:pPr algn="l"/>
          <a:endParaRPr lang="en-IN" sz="1200" b="1">
            <a:solidFill>
              <a:schemeClr val="bg2">
                <a:lumMod val="50000"/>
              </a:schemeClr>
            </a:solidFill>
          </a:endParaRPr>
        </a:p>
      </xdr:txBody>
    </xdr:sp>
    <xdr:clientData/>
  </xdr:twoCellAnchor>
  <xdr:twoCellAnchor>
    <xdr:from>
      <xdr:col>1</xdr:col>
      <xdr:colOff>654050</xdr:colOff>
      <xdr:row>15</xdr:row>
      <xdr:rowOff>85724</xdr:rowOff>
    </xdr:from>
    <xdr:to>
      <xdr:col>1</xdr:col>
      <xdr:colOff>1587500</xdr:colOff>
      <xdr:row>16</xdr:row>
      <xdr:rowOff>168274</xdr:rowOff>
    </xdr:to>
    <xdr:sp macro="" textlink="">
      <xdr:nvSpPr>
        <xdr:cNvPr id="7" name="Rectangle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9112320B-E065-4A83-B1BC-7DA0896CFB05}"/>
            </a:ext>
          </a:extLst>
        </xdr:cNvPr>
        <xdr:cNvSpPr/>
      </xdr:nvSpPr>
      <xdr:spPr>
        <a:xfrm>
          <a:off x="876300" y="2847974"/>
          <a:ext cx="876300" cy="2667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200" b="1">
              <a:solidFill>
                <a:schemeClr val="bg2">
                  <a:lumMod val="50000"/>
                </a:schemeClr>
              </a:solidFill>
            </a:rPr>
            <a:t>New Entry</a:t>
          </a:r>
        </a:p>
      </xdr:txBody>
    </xdr:sp>
    <xdr:clientData/>
  </xdr:twoCellAnchor>
  <xdr:twoCellAnchor>
    <xdr:from>
      <xdr:col>1</xdr:col>
      <xdr:colOff>654050</xdr:colOff>
      <xdr:row>16</xdr:row>
      <xdr:rowOff>173830</xdr:rowOff>
    </xdr:from>
    <xdr:to>
      <xdr:col>1</xdr:col>
      <xdr:colOff>1587500</xdr:colOff>
      <xdr:row>18</xdr:row>
      <xdr:rowOff>72230</xdr:rowOff>
    </xdr:to>
    <xdr:sp macro="" textlink="">
      <xdr:nvSpPr>
        <xdr:cNvPr id="8" name="Rectangle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97284961-D842-4BD5-8B9A-8C9D01E4BFBE}"/>
            </a:ext>
          </a:extLst>
        </xdr:cNvPr>
        <xdr:cNvSpPr/>
      </xdr:nvSpPr>
      <xdr:spPr>
        <a:xfrm>
          <a:off x="876300" y="3120230"/>
          <a:ext cx="876300" cy="2667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200" b="1">
              <a:solidFill>
                <a:schemeClr val="bg2">
                  <a:lumMod val="50000"/>
                </a:schemeClr>
              </a:solidFill>
            </a:rPr>
            <a:t>Purchase</a:t>
          </a:r>
        </a:p>
      </xdr:txBody>
    </xdr:sp>
    <xdr:clientData/>
  </xdr:twoCellAnchor>
  <xdr:twoCellAnchor>
    <xdr:from>
      <xdr:col>1</xdr:col>
      <xdr:colOff>654050</xdr:colOff>
      <xdr:row>18</xdr:row>
      <xdr:rowOff>77786</xdr:rowOff>
    </xdr:from>
    <xdr:to>
      <xdr:col>1</xdr:col>
      <xdr:colOff>1587500</xdr:colOff>
      <xdr:row>19</xdr:row>
      <xdr:rowOff>160336</xdr:rowOff>
    </xdr:to>
    <xdr:sp macro="" textlink="">
      <xdr:nvSpPr>
        <xdr:cNvPr id="9" name="Rectangle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91BA5518-1AB8-4295-BA43-74AEC8218718}"/>
            </a:ext>
          </a:extLst>
        </xdr:cNvPr>
        <xdr:cNvSpPr/>
      </xdr:nvSpPr>
      <xdr:spPr>
        <a:xfrm>
          <a:off x="876300" y="3392486"/>
          <a:ext cx="876300" cy="2667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200" b="1">
              <a:solidFill>
                <a:schemeClr val="tx1"/>
              </a:solidFill>
            </a:rPr>
            <a:t>Sales</a:t>
          </a:r>
        </a:p>
        <a:p>
          <a:pPr algn="l"/>
          <a:endParaRPr lang="en-IN" sz="12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654050</xdr:colOff>
      <xdr:row>19</xdr:row>
      <xdr:rowOff>165892</xdr:rowOff>
    </xdr:from>
    <xdr:to>
      <xdr:col>1</xdr:col>
      <xdr:colOff>1587500</xdr:colOff>
      <xdr:row>21</xdr:row>
      <xdr:rowOff>64292</xdr:rowOff>
    </xdr:to>
    <xdr:sp macro="" textlink="">
      <xdr:nvSpPr>
        <xdr:cNvPr id="10" name="Rectangle 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EDE81DE0-749B-4509-BF3F-CAA3342E63C8}"/>
            </a:ext>
          </a:extLst>
        </xdr:cNvPr>
        <xdr:cNvSpPr/>
      </xdr:nvSpPr>
      <xdr:spPr>
        <a:xfrm>
          <a:off x="876300" y="3664742"/>
          <a:ext cx="876300" cy="2667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200" b="1">
              <a:solidFill>
                <a:schemeClr val="bg2">
                  <a:lumMod val="50000"/>
                </a:schemeClr>
              </a:solidFill>
            </a:rPr>
            <a:t>Inventory</a:t>
          </a:r>
        </a:p>
      </xdr:txBody>
    </xdr:sp>
    <xdr:clientData/>
  </xdr:twoCellAnchor>
  <xdr:twoCellAnchor>
    <xdr:from>
      <xdr:col>1</xdr:col>
      <xdr:colOff>654050</xdr:colOff>
      <xdr:row>9</xdr:row>
      <xdr:rowOff>101600</xdr:rowOff>
    </xdr:from>
    <xdr:to>
      <xdr:col>1</xdr:col>
      <xdr:colOff>1587500</xdr:colOff>
      <xdr:row>11</xdr:row>
      <xdr:rowOff>0</xdr:rowOff>
    </xdr:to>
    <xdr:sp macro="" textlink="">
      <xdr:nvSpPr>
        <xdr:cNvPr id="11" name="Rectangle 1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7A090F99-A4C1-486B-9E8A-608EF9696FC8}"/>
            </a:ext>
          </a:extLst>
        </xdr:cNvPr>
        <xdr:cNvSpPr/>
      </xdr:nvSpPr>
      <xdr:spPr>
        <a:xfrm>
          <a:off x="876300" y="1758950"/>
          <a:ext cx="876300" cy="2667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200" b="1">
              <a:solidFill>
                <a:schemeClr val="bg2">
                  <a:lumMod val="50000"/>
                </a:schemeClr>
              </a:solidFill>
            </a:rPr>
            <a:t>Dashboard</a:t>
          </a:r>
        </a:p>
        <a:p>
          <a:pPr algn="l"/>
          <a:endParaRPr lang="en-IN" sz="1200" b="1">
            <a:solidFill>
              <a:schemeClr val="bg2">
                <a:lumMod val="50000"/>
              </a:schemeClr>
            </a:solidFill>
          </a:endParaRPr>
        </a:p>
      </xdr:txBody>
    </xdr:sp>
    <xdr:clientData/>
  </xdr:twoCellAnchor>
  <xdr:twoCellAnchor editAs="oneCell">
    <xdr:from>
      <xdr:col>1</xdr:col>
      <xdr:colOff>158753</xdr:colOff>
      <xdr:row>9</xdr:row>
      <xdr:rowOff>146050</xdr:rowOff>
    </xdr:from>
    <xdr:to>
      <xdr:col>1</xdr:col>
      <xdr:colOff>351092</xdr:colOff>
      <xdr:row>10</xdr:row>
      <xdr:rowOff>144780</xdr:rowOff>
    </xdr:to>
    <xdr:pic>
      <xdr:nvPicPr>
        <xdr:cNvPr id="12" name="Graphic 11" descr="Gauge">
          <a:extLst>
            <a:ext uri="{FF2B5EF4-FFF2-40B4-BE49-F238E27FC236}">
              <a16:creationId xmlns:a16="http://schemas.microsoft.com/office/drawing/2014/main" id="{EBEB1666-458A-4BEF-9D70-D7FCD29EFB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81003" y="1803400"/>
          <a:ext cx="192339" cy="182880"/>
        </a:xfrm>
        <a:prstGeom prst="rect">
          <a:avLst/>
        </a:prstGeom>
      </xdr:spPr>
    </xdr:pic>
    <xdr:clientData/>
  </xdr:twoCellAnchor>
  <xdr:twoCellAnchor editAs="oneCell">
    <xdr:from>
      <xdr:col>1</xdr:col>
      <xdr:colOff>158753</xdr:colOff>
      <xdr:row>11</xdr:row>
      <xdr:rowOff>56243</xdr:rowOff>
    </xdr:from>
    <xdr:to>
      <xdr:col>1</xdr:col>
      <xdr:colOff>349253</xdr:colOff>
      <xdr:row>12</xdr:row>
      <xdr:rowOff>54973</xdr:rowOff>
    </xdr:to>
    <xdr:pic>
      <xdr:nvPicPr>
        <xdr:cNvPr id="13" name="Graphic 12" descr="Target Audience">
          <a:extLst>
            <a:ext uri="{FF2B5EF4-FFF2-40B4-BE49-F238E27FC236}">
              <a16:creationId xmlns:a16="http://schemas.microsoft.com/office/drawing/2014/main" id="{BA051879-D1FD-45CC-88E7-C674DCE0F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81003" y="2081893"/>
          <a:ext cx="190500" cy="182880"/>
        </a:xfrm>
        <a:prstGeom prst="rect">
          <a:avLst/>
        </a:prstGeom>
      </xdr:spPr>
    </xdr:pic>
    <xdr:clientData/>
  </xdr:twoCellAnchor>
  <xdr:twoCellAnchor editAs="oneCell">
    <xdr:from>
      <xdr:col>1</xdr:col>
      <xdr:colOff>158753</xdr:colOff>
      <xdr:row>12</xdr:row>
      <xdr:rowOff>150586</xdr:rowOff>
    </xdr:from>
    <xdr:to>
      <xdr:col>1</xdr:col>
      <xdr:colOff>361404</xdr:colOff>
      <xdr:row>13</xdr:row>
      <xdr:rowOff>149316</xdr:rowOff>
    </xdr:to>
    <xdr:pic>
      <xdr:nvPicPr>
        <xdr:cNvPr id="14" name="Graphic 13" descr="Advertising">
          <a:extLst>
            <a:ext uri="{FF2B5EF4-FFF2-40B4-BE49-F238E27FC236}">
              <a16:creationId xmlns:a16="http://schemas.microsoft.com/office/drawing/2014/main" id="{4B84E34C-8491-47F5-BECB-88831DBD9C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81003" y="2360386"/>
          <a:ext cx="202651" cy="182880"/>
        </a:xfrm>
        <a:prstGeom prst="rect">
          <a:avLst/>
        </a:prstGeom>
      </xdr:spPr>
    </xdr:pic>
    <xdr:clientData/>
  </xdr:twoCellAnchor>
  <xdr:twoCellAnchor editAs="oneCell">
    <xdr:from>
      <xdr:col>1</xdr:col>
      <xdr:colOff>158753</xdr:colOff>
      <xdr:row>14</xdr:row>
      <xdr:rowOff>60779</xdr:rowOff>
    </xdr:from>
    <xdr:to>
      <xdr:col>1</xdr:col>
      <xdr:colOff>355014</xdr:colOff>
      <xdr:row>15</xdr:row>
      <xdr:rowOff>59509</xdr:rowOff>
    </xdr:to>
    <xdr:pic>
      <xdr:nvPicPr>
        <xdr:cNvPr id="15" name="Graphic 14" descr="Kiosk">
          <a:extLst>
            <a:ext uri="{FF2B5EF4-FFF2-40B4-BE49-F238E27FC236}">
              <a16:creationId xmlns:a16="http://schemas.microsoft.com/office/drawing/2014/main" id="{8D468F81-51C8-4269-8EA0-2A427B4874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81003" y="2638879"/>
          <a:ext cx="196261" cy="182880"/>
        </a:xfrm>
        <a:prstGeom prst="rect">
          <a:avLst/>
        </a:prstGeom>
      </xdr:spPr>
    </xdr:pic>
    <xdr:clientData/>
  </xdr:twoCellAnchor>
  <xdr:twoCellAnchor editAs="oneCell">
    <xdr:from>
      <xdr:col>1</xdr:col>
      <xdr:colOff>158753</xdr:colOff>
      <xdr:row>15</xdr:row>
      <xdr:rowOff>155122</xdr:rowOff>
    </xdr:from>
    <xdr:to>
      <xdr:col>1</xdr:col>
      <xdr:colOff>369966</xdr:colOff>
      <xdr:row>16</xdr:row>
      <xdr:rowOff>153852</xdr:rowOff>
    </xdr:to>
    <xdr:pic>
      <xdr:nvPicPr>
        <xdr:cNvPr id="16" name="Graphic 15" descr="Newspaper">
          <a:extLst>
            <a:ext uri="{FF2B5EF4-FFF2-40B4-BE49-F238E27FC236}">
              <a16:creationId xmlns:a16="http://schemas.microsoft.com/office/drawing/2014/main" id="{24047BBE-A1A2-4662-B5B0-F7C210D0C7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81003" y="2917372"/>
          <a:ext cx="211213" cy="182880"/>
        </a:xfrm>
        <a:prstGeom prst="rect">
          <a:avLst/>
        </a:prstGeom>
      </xdr:spPr>
    </xdr:pic>
    <xdr:clientData/>
  </xdr:twoCellAnchor>
  <xdr:twoCellAnchor editAs="oneCell">
    <xdr:from>
      <xdr:col>1</xdr:col>
      <xdr:colOff>158753</xdr:colOff>
      <xdr:row>17</xdr:row>
      <xdr:rowOff>65315</xdr:rowOff>
    </xdr:from>
    <xdr:to>
      <xdr:col>1</xdr:col>
      <xdr:colOff>377728</xdr:colOff>
      <xdr:row>18</xdr:row>
      <xdr:rowOff>64045</xdr:rowOff>
    </xdr:to>
    <xdr:pic>
      <xdr:nvPicPr>
        <xdr:cNvPr id="17" name="Graphic 16" descr="Shopping bag">
          <a:extLst>
            <a:ext uri="{FF2B5EF4-FFF2-40B4-BE49-F238E27FC236}">
              <a16:creationId xmlns:a16="http://schemas.microsoft.com/office/drawing/2014/main" id="{FD2B188A-DA63-437C-B184-77A63610B4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81003" y="3195865"/>
          <a:ext cx="218975" cy="182880"/>
        </a:xfrm>
        <a:prstGeom prst="rect">
          <a:avLst/>
        </a:prstGeom>
      </xdr:spPr>
    </xdr:pic>
    <xdr:clientData/>
  </xdr:twoCellAnchor>
  <xdr:twoCellAnchor editAs="oneCell">
    <xdr:from>
      <xdr:col>1</xdr:col>
      <xdr:colOff>158753</xdr:colOff>
      <xdr:row>18</xdr:row>
      <xdr:rowOff>159658</xdr:rowOff>
    </xdr:from>
    <xdr:to>
      <xdr:col>1</xdr:col>
      <xdr:colOff>364782</xdr:colOff>
      <xdr:row>19</xdr:row>
      <xdr:rowOff>158388</xdr:rowOff>
    </xdr:to>
    <xdr:pic>
      <xdr:nvPicPr>
        <xdr:cNvPr id="18" name="Graphic 17" descr="Register">
          <a:extLst>
            <a:ext uri="{FF2B5EF4-FFF2-40B4-BE49-F238E27FC236}">
              <a16:creationId xmlns:a16="http://schemas.microsoft.com/office/drawing/2014/main" id="{FF57FCAF-2AF1-4604-96B3-242BBA69DD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81003" y="3474358"/>
          <a:ext cx="206029" cy="182880"/>
        </a:xfrm>
        <a:prstGeom prst="rect">
          <a:avLst/>
        </a:prstGeom>
      </xdr:spPr>
    </xdr:pic>
    <xdr:clientData/>
  </xdr:twoCellAnchor>
  <xdr:twoCellAnchor editAs="oneCell">
    <xdr:from>
      <xdr:col>1</xdr:col>
      <xdr:colOff>158753</xdr:colOff>
      <xdr:row>20</xdr:row>
      <xdr:rowOff>69851</xdr:rowOff>
    </xdr:from>
    <xdr:to>
      <xdr:col>1</xdr:col>
      <xdr:colOff>382575</xdr:colOff>
      <xdr:row>21</xdr:row>
      <xdr:rowOff>68581</xdr:rowOff>
    </xdr:to>
    <xdr:pic>
      <xdr:nvPicPr>
        <xdr:cNvPr id="19" name="Graphic 18" descr="Checklist">
          <a:extLst>
            <a:ext uri="{FF2B5EF4-FFF2-40B4-BE49-F238E27FC236}">
              <a16:creationId xmlns:a16="http://schemas.microsoft.com/office/drawing/2014/main" id="{059665D1-1BE7-4F45-BAD5-53BB291F14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81003" y="3752851"/>
          <a:ext cx="223822" cy="182880"/>
        </a:xfrm>
        <a:prstGeom prst="rect">
          <a:avLst/>
        </a:prstGeom>
      </xdr:spPr>
    </xdr:pic>
    <xdr:clientData/>
  </xdr:twoCellAnchor>
  <xdr:twoCellAnchor>
    <xdr:from>
      <xdr:col>2</xdr:col>
      <xdr:colOff>381000</xdr:colOff>
      <xdr:row>1</xdr:row>
      <xdr:rowOff>0</xdr:rowOff>
    </xdr:from>
    <xdr:to>
      <xdr:col>22</xdr:col>
      <xdr:colOff>522941</xdr:colOff>
      <xdr:row>5</xdr:row>
      <xdr:rowOff>156882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85755409-B800-4CBA-B370-4F23CE393016}"/>
            </a:ext>
          </a:extLst>
        </xdr:cNvPr>
        <xdr:cNvSpPr/>
      </xdr:nvSpPr>
      <xdr:spPr>
        <a:xfrm>
          <a:off x="2133600" y="184150"/>
          <a:ext cx="12333941" cy="893482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IN" sz="2800" b="1"/>
            <a:t>   SALES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340145</xdr:colOff>
      <xdr:row>1</xdr:row>
      <xdr:rowOff>124124</xdr:rowOff>
    </xdr:from>
    <xdr:to>
      <xdr:col>1</xdr:col>
      <xdr:colOff>1254545</xdr:colOff>
      <xdr:row>6</xdr:row>
      <xdr:rowOff>117774</xdr:rowOff>
    </xdr:to>
    <xdr:pic>
      <xdr:nvPicPr>
        <xdr:cNvPr id="2" name="Graphic 1" descr="Bar chart">
          <a:extLst>
            <a:ext uri="{FF2B5EF4-FFF2-40B4-BE49-F238E27FC236}">
              <a16:creationId xmlns:a16="http://schemas.microsoft.com/office/drawing/2014/main" id="{633CB2CD-190A-494E-B04E-A47736D886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62395" y="308274"/>
          <a:ext cx="914400" cy="914400"/>
        </a:xfrm>
        <a:prstGeom prst="rect">
          <a:avLst/>
        </a:prstGeom>
      </xdr:spPr>
    </xdr:pic>
    <xdr:clientData/>
  </xdr:twoCellAnchor>
  <xdr:twoCellAnchor>
    <xdr:from>
      <xdr:col>1</xdr:col>
      <xdr:colOff>6350</xdr:colOff>
      <xdr:row>7</xdr:row>
      <xdr:rowOff>50800</xdr:rowOff>
    </xdr:from>
    <xdr:to>
      <xdr:col>1</xdr:col>
      <xdr:colOff>1494117</xdr:colOff>
      <xdr:row>9</xdr:row>
      <xdr:rowOff>177800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6B4007FA-7B6F-49D0-AAA2-90D18FEE1909}"/>
            </a:ext>
          </a:extLst>
        </xdr:cNvPr>
        <xdr:cNvSpPr/>
      </xdr:nvSpPr>
      <xdr:spPr>
        <a:xfrm>
          <a:off x="228600" y="1339850"/>
          <a:ext cx="1487767" cy="495300"/>
        </a:xfrm>
        <a:prstGeom prst="rect">
          <a:avLst/>
        </a:prstGeom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950" b="1"/>
            <a:t>INVENTORY MANAGEMENT SYSTEM</a:t>
          </a:r>
        </a:p>
      </xdr:txBody>
    </xdr:sp>
    <xdr:clientData/>
  </xdr:twoCellAnchor>
  <xdr:twoCellAnchor editAs="absolute">
    <xdr:from>
      <xdr:col>1</xdr:col>
      <xdr:colOff>654050</xdr:colOff>
      <xdr:row>11</xdr:row>
      <xdr:rowOff>5556</xdr:rowOff>
    </xdr:from>
    <xdr:to>
      <xdr:col>2</xdr:col>
      <xdr:colOff>788</xdr:colOff>
      <xdr:row>12</xdr:row>
      <xdr:rowOff>88106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03E13D7-D426-4B5C-9471-ECFA21257CBF}"/>
            </a:ext>
          </a:extLst>
        </xdr:cNvPr>
        <xdr:cNvSpPr/>
      </xdr:nvSpPr>
      <xdr:spPr>
        <a:xfrm>
          <a:off x="876300" y="2031206"/>
          <a:ext cx="876300" cy="2667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200" b="1">
              <a:solidFill>
                <a:schemeClr val="bg2">
                  <a:lumMod val="50000"/>
                </a:schemeClr>
              </a:solidFill>
            </a:rPr>
            <a:t>Customers</a:t>
          </a:r>
        </a:p>
      </xdr:txBody>
    </xdr:sp>
    <xdr:clientData/>
  </xdr:twoCellAnchor>
  <xdr:twoCellAnchor editAs="absolute">
    <xdr:from>
      <xdr:col>1</xdr:col>
      <xdr:colOff>654050</xdr:colOff>
      <xdr:row>12</xdr:row>
      <xdr:rowOff>93662</xdr:rowOff>
    </xdr:from>
    <xdr:to>
      <xdr:col>2</xdr:col>
      <xdr:colOff>788</xdr:colOff>
      <xdr:row>13</xdr:row>
      <xdr:rowOff>176212</xdr:rowOff>
    </xdr:to>
    <xdr:sp macro="" textlink="">
      <xdr:nvSpPr>
        <xdr:cNvPr id="5" name="Rectangle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292F450-812E-4DE8-8D22-878570DD9D7B}"/>
            </a:ext>
          </a:extLst>
        </xdr:cNvPr>
        <xdr:cNvSpPr/>
      </xdr:nvSpPr>
      <xdr:spPr>
        <a:xfrm>
          <a:off x="876300" y="2303462"/>
          <a:ext cx="876300" cy="2667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200" b="1">
              <a:solidFill>
                <a:schemeClr val="bg2">
                  <a:lumMod val="50000"/>
                </a:schemeClr>
              </a:solidFill>
            </a:rPr>
            <a:t>Products</a:t>
          </a:r>
        </a:p>
      </xdr:txBody>
    </xdr:sp>
    <xdr:clientData/>
  </xdr:twoCellAnchor>
  <xdr:twoCellAnchor editAs="absolute">
    <xdr:from>
      <xdr:col>1</xdr:col>
      <xdr:colOff>654050</xdr:colOff>
      <xdr:row>14</xdr:row>
      <xdr:rowOff>339</xdr:rowOff>
    </xdr:from>
    <xdr:to>
      <xdr:col>2</xdr:col>
      <xdr:colOff>788</xdr:colOff>
      <xdr:row>15</xdr:row>
      <xdr:rowOff>80168</xdr:rowOff>
    </xdr:to>
    <xdr:sp macro="" textlink="">
      <xdr:nvSpPr>
        <xdr:cNvPr id="6" name="Rectangle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8110388-BC5A-453C-BAE3-E8CD398118B7}"/>
            </a:ext>
          </a:extLst>
        </xdr:cNvPr>
        <xdr:cNvSpPr/>
      </xdr:nvSpPr>
      <xdr:spPr>
        <a:xfrm>
          <a:off x="876300" y="2575718"/>
          <a:ext cx="876300" cy="2667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200" b="1">
              <a:solidFill>
                <a:schemeClr val="bg2">
                  <a:lumMod val="50000"/>
                </a:schemeClr>
              </a:solidFill>
            </a:rPr>
            <a:t>Vendors</a:t>
          </a:r>
        </a:p>
        <a:p>
          <a:pPr algn="l"/>
          <a:endParaRPr lang="en-IN" sz="1200" b="1">
            <a:solidFill>
              <a:schemeClr val="bg2">
                <a:lumMod val="50000"/>
              </a:schemeClr>
            </a:solidFill>
          </a:endParaRPr>
        </a:p>
      </xdr:txBody>
    </xdr:sp>
    <xdr:clientData/>
  </xdr:twoCellAnchor>
  <xdr:twoCellAnchor editAs="absolute">
    <xdr:from>
      <xdr:col>1</xdr:col>
      <xdr:colOff>654050</xdr:colOff>
      <xdr:row>15</xdr:row>
      <xdr:rowOff>85724</xdr:rowOff>
    </xdr:from>
    <xdr:to>
      <xdr:col>2</xdr:col>
      <xdr:colOff>788</xdr:colOff>
      <xdr:row>16</xdr:row>
      <xdr:rowOff>168274</xdr:rowOff>
    </xdr:to>
    <xdr:sp macro="" textlink="">
      <xdr:nvSpPr>
        <xdr:cNvPr id="7" name="Rectangle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F226E292-78E6-400C-92A8-6E9DA10AA972}"/>
            </a:ext>
          </a:extLst>
        </xdr:cNvPr>
        <xdr:cNvSpPr/>
      </xdr:nvSpPr>
      <xdr:spPr>
        <a:xfrm>
          <a:off x="876300" y="2847974"/>
          <a:ext cx="876300" cy="2667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200" b="1">
              <a:solidFill>
                <a:schemeClr val="bg2">
                  <a:lumMod val="50000"/>
                </a:schemeClr>
              </a:solidFill>
            </a:rPr>
            <a:t>New Entry</a:t>
          </a:r>
        </a:p>
      </xdr:txBody>
    </xdr:sp>
    <xdr:clientData/>
  </xdr:twoCellAnchor>
  <xdr:twoCellAnchor editAs="absolute">
    <xdr:from>
      <xdr:col>1</xdr:col>
      <xdr:colOff>654050</xdr:colOff>
      <xdr:row>16</xdr:row>
      <xdr:rowOff>173830</xdr:rowOff>
    </xdr:from>
    <xdr:to>
      <xdr:col>2</xdr:col>
      <xdr:colOff>788</xdr:colOff>
      <xdr:row>18</xdr:row>
      <xdr:rowOff>72230</xdr:rowOff>
    </xdr:to>
    <xdr:sp macro="" textlink="">
      <xdr:nvSpPr>
        <xdr:cNvPr id="8" name="Rectangle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960C13E3-2654-4777-BBEB-DE42FE834907}"/>
            </a:ext>
          </a:extLst>
        </xdr:cNvPr>
        <xdr:cNvSpPr/>
      </xdr:nvSpPr>
      <xdr:spPr>
        <a:xfrm>
          <a:off x="876300" y="3120230"/>
          <a:ext cx="876300" cy="2667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200" b="1">
              <a:solidFill>
                <a:schemeClr val="bg2">
                  <a:lumMod val="50000"/>
                </a:schemeClr>
              </a:solidFill>
            </a:rPr>
            <a:t>Purchase</a:t>
          </a:r>
        </a:p>
      </xdr:txBody>
    </xdr:sp>
    <xdr:clientData/>
  </xdr:twoCellAnchor>
  <xdr:twoCellAnchor editAs="absolute">
    <xdr:from>
      <xdr:col>1</xdr:col>
      <xdr:colOff>654050</xdr:colOff>
      <xdr:row>18</xdr:row>
      <xdr:rowOff>77786</xdr:rowOff>
    </xdr:from>
    <xdr:to>
      <xdr:col>2</xdr:col>
      <xdr:colOff>788</xdr:colOff>
      <xdr:row>19</xdr:row>
      <xdr:rowOff>160336</xdr:rowOff>
    </xdr:to>
    <xdr:sp macro="" textlink="">
      <xdr:nvSpPr>
        <xdr:cNvPr id="9" name="Rectangle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49A5CA95-B96B-4B37-98CB-D7E6E4181599}"/>
            </a:ext>
          </a:extLst>
        </xdr:cNvPr>
        <xdr:cNvSpPr/>
      </xdr:nvSpPr>
      <xdr:spPr>
        <a:xfrm>
          <a:off x="876300" y="3392486"/>
          <a:ext cx="876300" cy="2667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200" b="1">
              <a:solidFill>
                <a:schemeClr val="bg2">
                  <a:lumMod val="50000"/>
                </a:schemeClr>
              </a:solidFill>
            </a:rPr>
            <a:t>Sales</a:t>
          </a:r>
        </a:p>
        <a:p>
          <a:pPr algn="l"/>
          <a:endParaRPr lang="en-IN" sz="1200" b="1">
            <a:solidFill>
              <a:schemeClr val="bg2">
                <a:lumMod val="50000"/>
              </a:schemeClr>
            </a:solidFill>
          </a:endParaRPr>
        </a:p>
      </xdr:txBody>
    </xdr:sp>
    <xdr:clientData/>
  </xdr:twoCellAnchor>
  <xdr:twoCellAnchor editAs="absolute">
    <xdr:from>
      <xdr:col>1</xdr:col>
      <xdr:colOff>654050</xdr:colOff>
      <xdr:row>19</xdr:row>
      <xdr:rowOff>165892</xdr:rowOff>
    </xdr:from>
    <xdr:to>
      <xdr:col>2</xdr:col>
      <xdr:colOff>788</xdr:colOff>
      <xdr:row>21</xdr:row>
      <xdr:rowOff>64292</xdr:rowOff>
    </xdr:to>
    <xdr:sp macro="" textlink="">
      <xdr:nvSpPr>
        <xdr:cNvPr id="10" name="Rectangle 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67B4EE15-78B5-4056-A1C9-7DA0E34287F9}"/>
            </a:ext>
          </a:extLst>
        </xdr:cNvPr>
        <xdr:cNvSpPr/>
      </xdr:nvSpPr>
      <xdr:spPr>
        <a:xfrm>
          <a:off x="876300" y="3664742"/>
          <a:ext cx="876300" cy="2667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200" b="1">
              <a:solidFill>
                <a:schemeClr val="tx1"/>
              </a:solidFill>
            </a:rPr>
            <a:t>Inventory</a:t>
          </a:r>
        </a:p>
      </xdr:txBody>
    </xdr:sp>
    <xdr:clientData/>
  </xdr:twoCellAnchor>
  <xdr:twoCellAnchor editAs="absolute">
    <xdr:from>
      <xdr:col>1</xdr:col>
      <xdr:colOff>654050</xdr:colOff>
      <xdr:row>9</xdr:row>
      <xdr:rowOff>101600</xdr:rowOff>
    </xdr:from>
    <xdr:to>
      <xdr:col>2</xdr:col>
      <xdr:colOff>788</xdr:colOff>
      <xdr:row>11</xdr:row>
      <xdr:rowOff>0</xdr:rowOff>
    </xdr:to>
    <xdr:sp macro="" textlink="">
      <xdr:nvSpPr>
        <xdr:cNvPr id="11" name="Rectangle 1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4A97A64B-D9D7-45FC-86C5-3A4392A1960B}"/>
            </a:ext>
          </a:extLst>
        </xdr:cNvPr>
        <xdr:cNvSpPr/>
      </xdr:nvSpPr>
      <xdr:spPr>
        <a:xfrm>
          <a:off x="876300" y="1758950"/>
          <a:ext cx="876300" cy="2667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200" b="1">
              <a:solidFill>
                <a:schemeClr val="bg2">
                  <a:lumMod val="50000"/>
                </a:schemeClr>
              </a:solidFill>
            </a:rPr>
            <a:t>Dashboard</a:t>
          </a:r>
        </a:p>
        <a:p>
          <a:pPr algn="l"/>
          <a:endParaRPr lang="en-IN" sz="1200" b="1">
            <a:solidFill>
              <a:schemeClr val="bg2">
                <a:lumMod val="50000"/>
              </a:schemeClr>
            </a:solidFill>
          </a:endParaRPr>
        </a:p>
      </xdr:txBody>
    </xdr:sp>
    <xdr:clientData/>
  </xdr:twoCellAnchor>
  <xdr:twoCellAnchor editAs="absolute">
    <xdr:from>
      <xdr:col>1</xdr:col>
      <xdr:colOff>158753</xdr:colOff>
      <xdr:row>9</xdr:row>
      <xdr:rowOff>146050</xdr:rowOff>
    </xdr:from>
    <xdr:to>
      <xdr:col>1</xdr:col>
      <xdr:colOff>351092</xdr:colOff>
      <xdr:row>10</xdr:row>
      <xdr:rowOff>144780</xdr:rowOff>
    </xdr:to>
    <xdr:pic>
      <xdr:nvPicPr>
        <xdr:cNvPr id="12" name="Graphic 11" descr="Gauge">
          <a:extLst>
            <a:ext uri="{FF2B5EF4-FFF2-40B4-BE49-F238E27FC236}">
              <a16:creationId xmlns:a16="http://schemas.microsoft.com/office/drawing/2014/main" id="{B0ABB05A-B094-4D2D-ABD8-2CED884090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81003" y="1803400"/>
          <a:ext cx="192339" cy="182880"/>
        </a:xfrm>
        <a:prstGeom prst="rect">
          <a:avLst/>
        </a:prstGeom>
      </xdr:spPr>
    </xdr:pic>
    <xdr:clientData/>
  </xdr:twoCellAnchor>
  <xdr:twoCellAnchor editAs="absolute">
    <xdr:from>
      <xdr:col>1</xdr:col>
      <xdr:colOff>158753</xdr:colOff>
      <xdr:row>11</xdr:row>
      <xdr:rowOff>56243</xdr:rowOff>
    </xdr:from>
    <xdr:to>
      <xdr:col>1</xdr:col>
      <xdr:colOff>349253</xdr:colOff>
      <xdr:row>12</xdr:row>
      <xdr:rowOff>54973</xdr:rowOff>
    </xdr:to>
    <xdr:pic>
      <xdr:nvPicPr>
        <xdr:cNvPr id="13" name="Graphic 12" descr="Target Audience">
          <a:extLst>
            <a:ext uri="{FF2B5EF4-FFF2-40B4-BE49-F238E27FC236}">
              <a16:creationId xmlns:a16="http://schemas.microsoft.com/office/drawing/2014/main" id="{3A4A35FD-2B09-41F8-B9F9-7D0A3349C0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81003" y="2081893"/>
          <a:ext cx="190500" cy="182880"/>
        </a:xfrm>
        <a:prstGeom prst="rect">
          <a:avLst/>
        </a:prstGeom>
      </xdr:spPr>
    </xdr:pic>
    <xdr:clientData/>
  </xdr:twoCellAnchor>
  <xdr:twoCellAnchor editAs="absolute">
    <xdr:from>
      <xdr:col>1</xdr:col>
      <xdr:colOff>158753</xdr:colOff>
      <xdr:row>12</xdr:row>
      <xdr:rowOff>150586</xdr:rowOff>
    </xdr:from>
    <xdr:to>
      <xdr:col>1</xdr:col>
      <xdr:colOff>361404</xdr:colOff>
      <xdr:row>13</xdr:row>
      <xdr:rowOff>149316</xdr:rowOff>
    </xdr:to>
    <xdr:pic>
      <xdr:nvPicPr>
        <xdr:cNvPr id="14" name="Graphic 13" descr="Advertising">
          <a:extLst>
            <a:ext uri="{FF2B5EF4-FFF2-40B4-BE49-F238E27FC236}">
              <a16:creationId xmlns:a16="http://schemas.microsoft.com/office/drawing/2014/main" id="{F83495ED-22EA-4881-9758-0CBC1D0E15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81003" y="2360386"/>
          <a:ext cx="202651" cy="182880"/>
        </a:xfrm>
        <a:prstGeom prst="rect">
          <a:avLst/>
        </a:prstGeom>
      </xdr:spPr>
    </xdr:pic>
    <xdr:clientData/>
  </xdr:twoCellAnchor>
  <xdr:twoCellAnchor editAs="absolute">
    <xdr:from>
      <xdr:col>1</xdr:col>
      <xdr:colOff>158753</xdr:colOff>
      <xdr:row>14</xdr:row>
      <xdr:rowOff>60779</xdr:rowOff>
    </xdr:from>
    <xdr:to>
      <xdr:col>1</xdr:col>
      <xdr:colOff>355014</xdr:colOff>
      <xdr:row>15</xdr:row>
      <xdr:rowOff>59509</xdr:rowOff>
    </xdr:to>
    <xdr:pic>
      <xdr:nvPicPr>
        <xdr:cNvPr id="15" name="Graphic 14" descr="Kiosk">
          <a:extLst>
            <a:ext uri="{FF2B5EF4-FFF2-40B4-BE49-F238E27FC236}">
              <a16:creationId xmlns:a16="http://schemas.microsoft.com/office/drawing/2014/main" id="{3DB4B27F-D7FD-4EB8-93BD-E72AB99B4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81003" y="2638879"/>
          <a:ext cx="196261" cy="182880"/>
        </a:xfrm>
        <a:prstGeom prst="rect">
          <a:avLst/>
        </a:prstGeom>
      </xdr:spPr>
    </xdr:pic>
    <xdr:clientData/>
  </xdr:twoCellAnchor>
  <xdr:twoCellAnchor editAs="absolute">
    <xdr:from>
      <xdr:col>1</xdr:col>
      <xdr:colOff>158753</xdr:colOff>
      <xdr:row>15</xdr:row>
      <xdr:rowOff>155122</xdr:rowOff>
    </xdr:from>
    <xdr:to>
      <xdr:col>1</xdr:col>
      <xdr:colOff>369966</xdr:colOff>
      <xdr:row>16</xdr:row>
      <xdr:rowOff>153852</xdr:rowOff>
    </xdr:to>
    <xdr:pic>
      <xdr:nvPicPr>
        <xdr:cNvPr id="16" name="Graphic 15" descr="Newspaper">
          <a:extLst>
            <a:ext uri="{FF2B5EF4-FFF2-40B4-BE49-F238E27FC236}">
              <a16:creationId xmlns:a16="http://schemas.microsoft.com/office/drawing/2014/main" id="{8BAC3174-13C8-4715-A2E6-89772BAA19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81003" y="2917372"/>
          <a:ext cx="211213" cy="182880"/>
        </a:xfrm>
        <a:prstGeom prst="rect">
          <a:avLst/>
        </a:prstGeom>
      </xdr:spPr>
    </xdr:pic>
    <xdr:clientData/>
  </xdr:twoCellAnchor>
  <xdr:twoCellAnchor editAs="absolute">
    <xdr:from>
      <xdr:col>1</xdr:col>
      <xdr:colOff>158753</xdr:colOff>
      <xdr:row>17</xdr:row>
      <xdr:rowOff>65315</xdr:rowOff>
    </xdr:from>
    <xdr:to>
      <xdr:col>1</xdr:col>
      <xdr:colOff>377728</xdr:colOff>
      <xdr:row>18</xdr:row>
      <xdr:rowOff>64045</xdr:rowOff>
    </xdr:to>
    <xdr:pic>
      <xdr:nvPicPr>
        <xdr:cNvPr id="17" name="Graphic 16" descr="Shopping bag">
          <a:extLst>
            <a:ext uri="{FF2B5EF4-FFF2-40B4-BE49-F238E27FC236}">
              <a16:creationId xmlns:a16="http://schemas.microsoft.com/office/drawing/2014/main" id="{6CED7105-0003-4E9A-AC32-5EFAE3BA3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81003" y="3195865"/>
          <a:ext cx="218975" cy="182880"/>
        </a:xfrm>
        <a:prstGeom prst="rect">
          <a:avLst/>
        </a:prstGeom>
      </xdr:spPr>
    </xdr:pic>
    <xdr:clientData/>
  </xdr:twoCellAnchor>
  <xdr:twoCellAnchor editAs="absolute">
    <xdr:from>
      <xdr:col>1</xdr:col>
      <xdr:colOff>158753</xdr:colOff>
      <xdr:row>18</xdr:row>
      <xdr:rowOff>159658</xdr:rowOff>
    </xdr:from>
    <xdr:to>
      <xdr:col>1</xdr:col>
      <xdr:colOff>364782</xdr:colOff>
      <xdr:row>19</xdr:row>
      <xdr:rowOff>158388</xdr:rowOff>
    </xdr:to>
    <xdr:pic>
      <xdr:nvPicPr>
        <xdr:cNvPr id="18" name="Graphic 17" descr="Register">
          <a:extLst>
            <a:ext uri="{FF2B5EF4-FFF2-40B4-BE49-F238E27FC236}">
              <a16:creationId xmlns:a16="http://schemas.microsoft.com/office/drawing/2014/main" id="{7CBA3CF1-AFDA-4F5B-99BB-80B0974990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81003" y="3474358"/>
          <a:ext cx="206029" cy="182880"/>
        </a:xfrm>
        <a:prstGeom prst="rect">
          <a:avLst/>
        </a:prstGeom>
      </xdr:spPr>
    </xdr:pic>
    <xdr:clientData/>
  </xdr:twoCellAnchor>
  <xdr:twoCellAnchor editAs="absolute">
    <xdr:from>
      <xdr:col>1</xdr:col>
      <xdr:colOff>158753</xdr:colOff>
      <xdr:row>20</xdr:row>
      <xdr:rowOff>69851</xdr:rowOff>
    </xdr:from>
    <xdr:to>
      <xdr:col>1</xdr:col>
      <xdr:colOff>382575</xdr:colOff>
      <xdr:row>21</xdr:row>
      <xdr:rowOff>68581</xdr:rowOff>
    </xdr:to>
    <xdr:pic>
      <xdr:nvPicPr>
        <xdr:cNvPr id="19" name="Graphic 18" descr="Checklist">
          <a:extLst>
            <a:ext uri="{FF2B5EF4-FFF2-40B4-BE49-F238E27FC236}">
              <a16:creationId xmlns:a16="http://schemas.microsoft.com/office/drawing/2014/main" id="{F3FEEB24-60C2-479C-81AA-DE0D103E2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81003" y="3752851"/>
          <a:ext cx="223822" cy="182880"/>
        </a:xfrm>
        <a:prstGeom prst="rect">
          <a:avLst/>
        </a:prstGeom>
      </xdr:spPr>
    </xdr:pic>
    <xdr:clientData/>
  </xdr:twoCellAnchor>
  <xdr:twoCellAnchor editAs="absolute">
    <xdr:from>
      <xdr:col>3</xdr:col>
      <xdr:colOff>2048</xdr:colOff>
      <xdr:row>1</xdr:row>
      <xdr:rowOff>1585</xdr:rowOff>
    </xdr:from>
    <xdr:to>
      <xdr:col>21</xdr:col>
      <xdr:colOff>87513</xdr:colOff>
      <xdr:row>5</xdr:row>
      <xdr:rowOff>156882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D487537D-4609-47CE-A35B-3D4D50BC9F9F}"/>
            </a:ext>
          </a:extLst>
        </xdr:cNvPr>
        <xdr:cNvSpPr/>
      </xdr:nvSpPr>
      <xdr:spPr>
        <a:xfrm>
          <a:off x="2133600" y="184150"/>
          <a:ext cx="12333941" cy="893482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IN" sz="2800" b="1"/>
            <a:t>   INVENTORY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havesh" refreshedDate="46219.400067824077" createdVersion="8" refreshedVersion="8" minRefreshableVersion="3" recordCount="8" xr:uid="{C9DF105A-06B3-45A8-A9F3-61EE91F2EE4D}">
  <cacheSource type="worksheet">
    <worksheetSource name="Table1"/>
  </cacheSource>
  <cacheFields count="4">
    <cacheField name="CUST_ID" numFmtId="0">
      <sharedItems containsSemiMixedTypes="0" containsString="0" containsNumber="1" containsInteger="1" minValue="100" maxValue="107"/>
    </cacheField>
    <cacheField name="NAME" numFmtId="0">
      <sharedItems count="8">
        <s v="Ram Sales"/>
        <s v="Atul Ltd."/>
        <s v="MK Tech"/>
        <s v="99Store"/>
        <s v="Rajesh Kumar"/>
        <s v="Amit"/>
        <s v="Jain Tel."/>
        <s v="Chandan ERP"/>
      </sharedItems>
    </cacheField>
    <cacheField name="EMAIL" numFmtId="0">
      <sharedItems/>
    </cacheField>
    <cacheField name="ADDRES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havesh" refreshedDate="46219.401281944447" createdVersion="8" refreshedVersion="8" minRefreshableVersion="3" recordCount="16" xr:uid="{2547D0FF-9B03-4056-AEA2-FEE4329C81CF}">
  <cacheSource type="worksheet">
    <worksheetSource name="Products_data"/>
  </cacheSource>
  <cacheFields count="4">
    <cacheField name="HSN CODE" numFmtId="0">
      <sharedItems/>
    </cacheField>
    <cacheField name="PRODUCT NAME " numFmtId="0">
      <sharedItems count="16">
        <s v="Smart Watch"/>
        <s v="Laptop HP xyz"/>
        <s v="Wireless Printer"/>
        <s v="Desktop "/>
        <s v="Mouse"/>
        <s v="RGB Keyboard"/>
        <s v="Camera"/>
        <s v="Headphone"/>
        <s v="Speakers"/>
        <s v="Tablets"/>
        <s v="A C"/>
        <s v="Fridge "/>
        <s v="T V"/>
        <s v="CCTV "/>
        <s v="Bike"/>
        <s v="CYCLE"/>
      </sharedItems>
    </cacheField>
    <cacheField name="COST" numFmtId="0">
      <sharedItems containsSemiMixedTypes="0" containsString="0" containsNumber="1" containsInteger="1" minValue="200" maxValue="78000"/>
    </cacheField>
    <cacheField name="SELLING PRICE" numFmtId="0">
      <sharedItems containsSemiMixedTypes="0" containsString="0" containsNumber="1" minValue="240" maxValue="8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havesh" refreshedDate="46219.402921527777" createdVersion="8" refreshedVersion="8" minRefreshableVersion="3" recordCount="20" xr:uid="{19E3235B-B372-4D03-8718-C92BD405D9C0}">
  <cacheSource type="worksheet">
    <worksheetSource name="Table4"/>
  </cacheSource>
  <cacheFields count="7">
    <cacheField name="HSN Code " numFmtId="0">
      <sharedItems containsBlank="1"/>
    </cacheField>
    <cacheField name="Product Name" numFmtId="0">
      <sharedItems/>
    </cacheField>
    <cacheField name="Vendor" numFmtId="0">
      <sharedItems/>
    </cacheField>
    <cacheField name="Date" numFmtId="164">
      <sharedItems containsNonDate="0" containsDate="1" containsString="0" containsBlank="1" minDate="2026-07-15T00:00:00" maxDate="2026-07-25T00:00:00"/>
    </cacheField>
    <cacheField name="Units" numFmtId="0">
      <sharedItems containsString="0" containsBlank="1" containsNumber="1" containsInteger="1" minValue="1" maxValue="50"/>
    </cacheField>
    <cacheField name="Cost" numFmtId="0">
      <sharedItems containsMixedTypes="1" containsNumber="1" containsInteger="1" minValue="200" maxValue="78000"/>
    </cacheField>
    <cacheField name="Amount" numFmtId="0">
      <sharedItems containsMixedTypes="1" containsNumber="1" containsInteger="1" minValue="800" maxValue="39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havesh" refreshedDate="46219.40397175926" createdVersion="8" refreshedVersion="8" minRefreshableVersion="3" recordCount="14" xr:uid="{7A72D2D3-5940-4A2C-BF32-760097652524}">
  <cacheSource type="worksheet">
    <worksheetSource name="Table5"/>
  </cacheSource>
  <cacheFields count="9">
    <cacheField name="Cust_ID" numFmtId="0">
      <sharedItems containsString="0" containsBlank="1" containsNumber="1" containsInteger="1" minValue="100" maxValue="107"/>
    </cacheField>
    <cacheField name="Cust_Name" numFmtId="0">
      <sharedItems count="9">
        <s v="Atul Ltd."/>
        <s v="Ram Sales"/>
        <s v="MK Tech"/>
        <s v="99Store"/>
        <s v="Rajesh Kumar"/>
        <s v="Amit"/>
        <s v="Jain Tel."/>
        <s v="Chandan ERP"/>
        <s v=""/>
      </sharedItems>
    </cacheField>
    <cacheField name="HSN Code" numFmtId="0">
      <sharedItems containsBlank="1"/>
    </cacheField>
    <cacheField name="Product Name" numFmtId="0">
      <sharedItems/>
    </cacheField>
    <cacheField name="Date" numFmtId="0">
      <sharedItems containsNonDate="0" containsDate="1" containsString="0" containsBlank="1" minDate="2026-07-16T00:00:00" maxDate="2026-07-29T00:00:00"/>
    </cacheField>
    <cacheField name="Stock(Units)" numFmtId="0">
      <sharedItems containsMixedTypes="1" containsNumber="1" containsInteger="1" minValue="3" maxValue="54"/>
    </cacheField>
    <cacheField name="Units" numFmtId="0">
      <sharedItems containsString="0" containsBlank="1" containsNumber="1" containsInteger="1" minValue="1" maxValue="20"/>
    </cacheField>
    <cacheField name="Price" numFmtId="0">
      <sharedItems containsMixedTypes="1" containsNumber="1" minValue="408" maxValue="80000"/>
    </cacheField>
    <cacheField name="Amount" numFmtId="0">
      <sharedItems containsMixedTypes="1" containsNumber="1" containsInteger="1" minValue="408" maxValue="16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havesh" refreshedDate="46219.404676041668" createdVersion="8" refreshedVersion="8" minRefreshableVersion="3" recordCount="22" xr:uid="{B278069B-BC1C-4D03-B1AB-63AD0864C5E1}">
  <cacheSource type="worksheet">
    <worksheetSource name="Table6"/>
  </cacheSource>
  <cacheFields count="7">
    <cacheField name="HSN Code" numFmtId="0">
      <sharedItems/>
    </cacheField>
    <cacheField name="Product Name" numFmtId="0">
      <sharedItems count="17">
        <s v="Smart Watch"/>
        <s v="Laptop HP xyz"/>
        <s v="Wireless Printer"/>
        <s v="Desktop "/>
        <s v="Mouse"/>
        <s v="RGB Keyboard"/>
        <s v="Camera"/>
        <s v="Headphone"/>
        <s v="Speakers"/>
        <s v="Tablets"/>
        <s v="A C"/>
        <s v="Fridge "/>
        <s v="T V"/>
        <s v="CCTV "/>
        <s v="Bike"/>
        <s v="CYCLE"/>
        <s v=""/>
      </sharedItems>
    </cacheField>
    <cacheField name="Cost" numFmtId="0">
      <sharedItems containsMixedTypes="1" containsNumber="1" containsInteger="1" minValue="200" maxValue="78000"/>
    </cacheField>
    <cacheField name="P Units" numFmtId="0">
      <sharedItems containsSemiMixedTypes="0" containsString="0" containsNumber="1" containsInteger="1" minValue="0" maxValue="60"/>
    </cacheField>
    <cacheField name="S Units" numFmtId="0">
      <sharedItems containsSemiMixedTypes="0" containsString="0" containsNumber="1" containsInteger="1" minValue="0" maxValue="20"/>
    </cacheField>
    <cacheField name="Stock" numFmtId="0">
      <sharedItems containsSemiMixedTypes="0" containsString="0" containsNumber="1" containsInteger="1" minValue="0" maxValue="54"/>
    </cacheField>
    <cacheField name="Stock Amount" numFmtId="0">
      <sharedItems containsMixedTypes="1" containsNumber="1" containsInteger="1" minValue="0" maxValue="234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n v="100"/>
    <x v="0"/>
    <s v="ram@gmail.com"/>
    <s v="Delhi, india"/>
  </r>
  <r>
    <n v="101"/>
    <x v="1"/>
    <s v="atul@gmail.com"/>
    <s v="122112,Palwal,HR"/>
  </r>
  <r>
    <n v="102"/>
    <x v="2"/>
    <s v="mk@gmail.com"/>
    <s v="Faridabad,121101"/>
  </r>
  <r>
    <n v="103"/>
    <x v="3"/>
    <s v="99store@gmail.com"/>
    <s v="Agra,UP"/>
  </r>
  <r>
    <n v="104"/>
    <x v="4"/>
    <s v="rajesh@gmail.com"/>
    <s v="New Delhi,110011"/>
  </r>
  <r>
    <n v="105"/>
    <x v="5"/>
    <s v="amit@gmail.com"/>
    <s v="Gurgaon, Sec-15"/>
  </r>
  <r>
    <n v="106"/>
    <x v="6"/>
    <s v="jain@gmail.com"/>
    <s v="Janpath, New Delhi"/>
  </r>
  <r>
    <n v="107"/>
    <x v="7"/>
    <s v="chan@gmail.com"/>
    <s v="Patna, Bihar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s v="N1001"/>
    <x v="0"/>
    <n v="980"/>
    <n v="1176"/>
  </r>
  <r>
    <s v="N1002"/>
    <x v="1"/>
    <n v="34500"/>
    <n v="41400"/>
  </r>
  <r>
    <s v="N1003"/>
    <x v="2"/>
    <n v="4600"/>
    <n v="5520"/>
  </r>
  <r>
    <s v="N1004"/>
    <x v="3"/>
    <n v="21000"/>
    <n v="25200"/>
  </r>
  <r>
    <s v="N1005"/>
    <x v="4"/>
    <n v="200"/>
    <n v="240"/>
  </r>
  <r>
    <s v="N1006"/>
    <x v="5"/>
    <n v="340"/>
    <n v="408"/>
  </r>
  <r>
    <s v="N1007"/>
    <x v="6"/>
    <n v="52000"/>
    <n v="62400"/>
  </r>
  <r>
    <s v="N1008"/>
    <x v="7"/>
    <n v="799"/>
    <n v="958.8"/>
  </r>
  <r>
    <s v="N1009"/>
    <x v="8"/>
    <n v="670"/>
    <n v="804"/>
  </r>
  <r>
    <s v="N1010"/>
    <x v="9"/>
    <n v="23500"/>
    <n v="28200"/>
  </r>
  <r>
    <s v="N1011"/>
    <x v="10"/>
    <n v="40000"/>
    <n v="42000"/>
  </r>
  <r>
    <s v="N1012"/>
    <x v="11"/>
    <n v="25000"/>
    <n v="28000"/>
  </r>
  <r>
    <s v="N1013"/>
    <x v="12"/>
    <n v="15000"/>
    <n v="17000"/>
  </r>
  <r>
    <s v="N1014"/>
    <x v="13"/>
    <n v="5000"/>
    <n v="6500"/>
  </r>
  <r>
    <s v="N1015"/>
    <x v="14"/>
    <n v="78000"/>
    <n v="80000"/>
  </r>
  <r>
    <s v="N1016"/>
    <x v="15"/>
    <n v="5656"/>
    <n v="600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s v="N1004"/>
    <s v="Desktop "/>
    <s v="GG Traders"/>
    <d v="2026-07-15T00:00:00"/>
    <n v="10"/>
    <n v="21000"/>
    <n v="210000"/>
  </r>
  <r>
    <s v="N1003"/>
    <s v="Wireless Printer"/>
    <s v="Tech99"/>
    <d v="2026-07-15T00:00:00"/>
    <n v="10"/>
    <n v="4600"/>
    <n v="46000"/>
  </r>
  <r>
    <s v="N1004"/>
    <s v="Desktop "/>
    <s v="GG Traders"/>
    <d v="2026-07-15T00:00:00"/>
    <n v="50"/>
    <n v="21000"/>
    <n v="1050000"/>
  </r>
  <r>
    <s v="N1007"/>
    <s v="Camera"/>
    <s v="GG Traders"/>
    <d v="2026-07-16T00:00:00"/>
    <n v="5"/>
    <n v="52000"/>
    <n v="260000"/>
  </r>
  <r>
    <s v="N1005"/>
    <s v="Mouse"/>
    <s v="GG Traders"/>
    <d v="2026-07-17T00:00:00"/>
    <n v="4"/>
    <n v="200"/>
    <n v="800"/>
  </r>
  <r>
    <s v="N1005"/>
    <s v="Mouse"/>
    <s v="GG Traders"/>
    <d v="2026-07-18T00:00:00"/>
    <n v="8"/>
    <n v="200"/>
    <n v="1600"/>
  </r>
  <r>
    <s v="N1006"/>
    <s v="RGB Keyboard"/>
    <s v="GG Traders"/>
    <d v="2026-07-19T00:00:00"/>
    <n v="4"/>
    <n v="340"/>
    <n v="1360"/>
  </r>
  <r>
    <s v="N1016"/>
    <s v="CYCLE"/>
    <s v="Bhavesh Ltd"/>
    <d v="2026-07-20T00:00:00"/>
    <n v="3"/>
    <n v="5656"/>
    <n v="16968"/>
  </r>
  <r>
    <s v="N1005"/>
    <s v="Mouse"/>
    <s v="GG Traders"/>
    <d v="2026-07-21T00:00:00"/>
    <n v="8"/>
    <n v="200"/>
    <n v="1600"/>
  </r>
  <r>
    <s v="N1003"/>
    <s v="Wireless Printer"/>
    <s v="Tech99"/>
    <d v="2026-07-22T00:00:00"/>
    <n v="2"/>
    <n v="4600"/>
    <n v="9200"/>
  </r>
  <r>
    <s v="N1007"/>
    <s v="Camera"/>
    <s v="GG Traders"/>
    <d v="2026-07-23T00:00:00"/>
    <n v="10"/>
    <n v="52000"/>
    <n v="520000"/>
  </r>
  <r>
    <s v="N1016"/>
    <s v="CYCLE"/>
    <s v="Bhavesh Ltd"/>
    <d v="2026-07-24T00:00:00"/>
    <n v="1"/>
    <n v="5656"/>
    <n v="5656"/>
  </r>
  <r>
    <s v="N1013"/>
    <s v="T V"/>
    <s v="Bhavesh Ltd"/>
    <d v="2026-07-16T00:00:00"/>
    <n v="5"/>
    <n v="15000"/>
    <n v="75000"/>
  </r>
  <r>
    <s v="N1001"/>
    <s v="Smart Watch"/>
    <s v="Tech99"/>
    <d v="2026-07-17T00:00:00"/>
    <n v="50"/>
    <n v="980"/>
    <n v="49000"/>
  </r>
  <r>
    <s v="N1012"/>
    <s v="Fridge "/>
    <s v="Bhavesh Ltd"/>
    <d v="2026-07-16T00:00:00"/>
    <n v="40"/>
    <n v="25000"/>
    <n v="1000000"/>
  </r>
  <r>
    <s v="N1008"/>
    <s v="Headphone"/>
    <s v="Compac"/>
    <d v="2026-07-16T00:00:00"/>
    <n v="30"/>
    <n v="799"/>
    <n v="23970"/>
  </r>
  <r>
    <s v="N1006"/>
    <s v="RGB Keyboard"/>
    <s v="GG Traders"/>
    <d v="2026-07-16T00:00:00"/>
    <n v="8"/>
    <n v="340"/>
    <n v="2720"/>
  </r>
  <r>
    <s v="N1011"/>
    <s v="A C"/>
    <s v="Bhavesh Ltd"/>
    <d v="2026-07-16T00:00:00"/>
    <n v="10"/>
    <n v="40000"/>
    <n v="400000"/>
  </r>
  <r>
    <s v="N1015"/>
    <s v="Bike"/>
    <s v="Bhavesh Ltd"/>
    <d v="2026-07-16T00:00:00"/>
    <n v="50"/>
    <n v="78000"/>
    <n v="3900000"/>
  </r>
  <r>
    <m/>
    <s v=""/>
    <s v=""/>
    <m/>
    <m/>
    <s v=" "/>
    <s v="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n v="101"/>
    <x v="0"/>
    <s v="N1001"/>
    <s v="Smart Watch"/>
    <d v="2026-07-16T00:00:00"/>
    <n v="40"/>
    <n v="10"/>
    <n v="1176"/>
    <n v="11760"/>
  </r>
  <r>
    <n v="100"/>
    <x v="1"/>
    <s v="N1003"/>
    <s v="Wireless Printer"/>
    <d v="2026-07-17T00:00:00"/>
    <n v="3"/>
    <n v="5"/>
    <n v="5520"/>
    <n v="27600"/>
  </r>
  <r>
    <n v="102"/>
    <x v="2"/>
    <s v="N1004"/>
    <s v="Desktop "/>
    <d v="2026-07-18T00:00:00"/>
    <n v="54"/>
    <n v="4"/>
    <n v="25200"/>
    <n v="100800"/>
  </r>
  <r>
    <n v="103"/>
    <x v="3"/>
    <s v="N1006"/>
    <s v="RGB Keyboard"/>
    <d v="2026-07-19T00:00:00"/>
    <n v="5"/>
    <n v="6"/>
    <n v="408"/>
    <n v="2448"/>
  </r>
  <r>
    <n v="104"/>
    <x v="4"/>
    <s v="N1004"/>
    <s v="Desktop "/>
    <d v="2026-07-20T00:00:00"/>
    <n v="54"/>
    <n v="2"/>
    <n v="25200"/>
    <n v="50400"/>
  </r>
  <r>
    <n v="105"/>
    <x v="5"/>
    <s v="N1006"/>
    <s v="RGB Keyboard"/>
    <d v="2026-07-21T00:00:00"/>
    <n v="5"/>
    <n v="1"/>
    <n v="408"/>
    <n v="408"/>
  </r>
  <r>
    <n v="106"/>
    <x v="6"/>
    <s v="N1007"/>
    <s v="Camera"/>
    <d v="2026-07-22T00:00:00"/>
    <n v="7"/>
    <n v="2"/>
    <n v="62400"/>
    <n v="124800"/>
  </r>
  <r>
    <n v="107"/>
    <x v="7"/>
    <s v="N1003"/>
    <s v="Wireless Printer"/>
    <d v="2026-07-23T00:00:00"/>
    <n v="3"/>
    <n v="4"/>
    <n v="5520"/>
    <n v="22080"/>
  </r>
  <r>
    <n v="102"/>
    <x v="2"/>
    <s v="N1007"/>
    <s v="Camera"/>
    <d v="2026-07-24T00:00:00"/>
    <n v="7"/>
    <n v="6"/>
    <n v="62400"/>
    <n v="374400"/>
  </r>
  <r>
    <n v="105"/>
    <x v="5"/>
    <s v="N1011"/>
    <s v="A C"/>
    <d v="2026-07-25T00:00:00"/>
    <n v="8"/>
    <n v="2"/>
    <n v="42000"/>
    <n v="84000"/>
  </r>
  <r>
    <n v="102"/>
    <x v="2"/>
    <s v="N1008"/>
    <s v="Headphone"/>
    <d v="2026-07-26T00:00:00"/>
    <n v="25"/>
    <n v="5"/>
    <n v="958.8"/>
    <n v="4794"/>
  </r>
  <r>
    <n v="100"/>
    <x v="1"/>
    <s v="N1012"/>
    <s v="Fridge "/>
    <d v="2026-07-27T00:00:00"/>
    <n v="32"/>
    <n v="8"/>
    <n v="28000"/>
    <n v="224000"/>
  </r>
  <r>
    <n v="102"/>
    <x v="2"/>
    <s v="N1015"/>
    <s v="Bike"/>
    <d v="2026-07-28T00:00:00"/>
    <n v="30"/>
    <n v="20"/>
    <n v="80000"/>
    <n v="1600000"/>
  </r>
  <r>
    <m/>
    <x v="8"/>
    <m/>
    <s v=""/>
    <m/>
    <s v=""/>
    <m/>
    <s v=""/>
    <s v="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s v="N1001"/>
    <x v="0"/>
    <n v="980"/>
    <n v="50"/>
    <n v="10"/>
    <n v="40"/>
    <n v="39200"/>
  </r>
  <r>
    <s v="N1002"/>
    <x v="1"/>
    <n v="34500"/>
    <n v="0"/>
    <n v="0"/>
    <n v="0"/>
    <n v="0"/>
  </r>
  <r>
    <s v="N1003"/>
    <x v="2"/>
    <n v="4600"/>
    <n v="12"/>
    <n v="9"/>
    <n v="3"/>
    <n v="13800"/>
  </r>
  <r>
    <s v="N1004"/>
    <x v="3"/>
    <n v="21000"/>
    <n v="60"/>
    <n v="6"/>
    <n v="54"/>
    <n v="1134000"/>
  </r>
  <r>
    <s v="N1005"/>
    <x v="4"/>
    <n v="200"/>
    <n v="20"/>
    <n v="0"/>
    <n v="20"/>
    <n v="4000"/>
  </r>
  <r>
    <s v="N1006"/>
    <x v="5"/>
    <n v="340"/>
    <n v="12"/>
    <n v="7"/>
    <n v="5"/>
    <n v="1700"/>
  </r>
  <r>
    <s v="N1007"/>
    <x v="6"/>
    <n v="52000"/>
    <n v="15"/>
    <n v="8"/>
    <n v="7"/>
    <n v="364000"/>
  </r>
  <r>
    <s v="N1008"/>
    <x v="7"/>
    <n v="799"/>
    <n v="30"/>
    <n v="5"/>
    <n v="25"/>
    <n v="19975"/>
  </r>
  <r>
    <s v="N1009"/>
    <x v="8"/>
    <n v="670"/>
    <n v="0"/>
    <n v="0"/>
    <n v="0"/>
    <n v="0"/>
  </r>
  <r>
    <s v="N1010"/>
    <x v="9"/>
    <n v="23500"/>
    <n v="0"/>
    <n v="0"/>
    <n v="0"/>
    <n v="0"/>
  </r>
  <r>
    <s v="N1011"/>
    <x v="10"/>
    <n v="40000"/>
    <n v="10"/>
    <n v="2"/>
    <n v="8"/>
    <n v="320000"/>
  </r>
  <r>
    <s v="N1012"/>
    <x v="11"/>
    <n v="25000"/>
    <n v="40"/>
    <n v="8"/>
    <n v="32"/>
    <n v="800000"/>
  </r>
  <r>
    <s v="N1013"/>
    <x v="12"/>
    <n v="15000"/>
    <n v="5"/>
    <n v="0"/>
    <n v="5"/>
    <n v="75000"/>
  </r>
  <r>
    <s v="N1014"/>
    <x v="13"/>
    <n v="5000"/>
    <n v="0"/>
    <n v="0"/>
    <n v="0"/>
    <n v="0"/>
  </r>
  <r>
    <s v="N1015"/>
    <x v="14"/>
    <n v="78000"/>
    <n v="50"/>
    <n v="20"/>
    <n v="30"/>
    <n v="2340000"/>
  </r>
  <r>
    <s v="N1016"/>
    <x v="15"/>
    <n v="5656"/>
    <n v="4"/>
    <n v="0"/>
    <n v="4"/>
    <n v="22624"/>
  </r>
  <r>
    <s v=""/>
    <x v="16"/>
    <s v=""/>
    <n v="0"/>
    <n v="0"/>
    <n v="0"/>
    <s v=""/>
  </r>
  <r>
    <s v=""/>
    <x v="16"/>
    <s v=""/>
    <n v="0"/>
    <n v="0"/>
    <n v="0"/>
    <s v=""/>
  </r>
  <r>
    <s v=""/>
    <x v="16"/>
    <s v=""/>
    <n v="0"/>
    <n v="0"/>
    <n v="0"/>
    <s v=""/>
  </r>
  <r>
    <s v=""/>
    <x v="16"/>
    <s v=""/>
    <n v="0"/>
    <n v="0"/>
    <n v="0"/>
    <s v=""/>
  </r>
  <r>
    <s v=""/>
    <x v="16"/>
    <s v=""/>
    <n v="0"/>
    <n v="0"/>
    <n v="0"/>
    <s v=""/>
  </r>
  <r>
    <s v=""/>
    <x v="16"/>
    <s v=""/>
    <n v="0"/>
    <n v="0"/>
    <n v="0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89188E-2F52-43BA-AFB1-4D79D2492962}" name="PivotTable8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I2:J19" firstHeaderRow="1" firstDataRow="1" firstDataCol="1"/>
  <pivotFields count="7">
    <pivotField showAll="0"/>
    <pivotField axis="axisRow" showAll="0">
      <items count="18">
        <item h="1" x="16"/>
        <item x="10"/>
        <item x="14"/>
        <item x="6"/>
        <item x="13"/>
        <item x="15"/>
        <item x="3"/>
        <item x="11"/>
        <item x="7"/>
        <item x="1"/>
        <item x="4"/>
        <item x="5"/>
        <item x="0"/>
        <item x="8"/>
        <item x="12"/>
        <item x="9"/>
        <item x="2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1"/>
  </rowFields>
  <rowItems count="17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Stock" fld="5" baseField="0" baseItem="0"/>
  </dataFields>
  <chartFormats count="4"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8B811C-B7E1-4178-93AB-A185F17AD189}" name="PivotTable7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F10:G16" firstHeaderRow="1" firstDataRow="1" firstDataCol="1"/>
  <pivotFields count="9">
    <pivotField showAll="0"/>
    <pivotField axis="axisRow" showAll="0" measureFilter="1" sortType="descending">
      <items count="10">
        <item x="8"/>
        <item x="3"/>
        <item x="5"/>
        <item x="0"/>
        <item x="7"/>
        <item x="6"/>
        <item x="2"/>
        <item x="4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6">
    <i>
      <x v="6"/>
    </i>
    <i>
      <x v="8"/>
    </i>
    <i>
      <x v="5"/>
    </i>
    <i>
      <x v="2"/>
    </i>
    <i>
      <x v="7"/>
    </i>
    <i t="grand">
      <x/>
    </i>
  </rowItems>
  <colItems count="1">
    <i/>
  </colItems>
  <dataFields count="1">
    <dataField name="Sum of Amount" fld="8" baseField="1" baseItem="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E00A55-76A9-47C6-87FE-CEB8AA699804}" name="PivotTable6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F2:G8" firstHeaderRow="1" firstDataRow="1" firstDataCol="1"/>
  <pivotFields count="7">
    <pivotField showAll="0"/>
    <pivotField axis="axisRow" showAll="0" measureFilter="1" sortType="descending">
      <items count="18">
        <item x="16"/>
        <item x="10"/>
        <item x="14"/>
        <item x="6"/>
        <item x="13"/>
        <item x="15"/>
        <item x="3"/>
        <item x="11"/>
        <item x="7"/>
        <item x="1"/>
        <item x="4"/>
        <item x="5"/>
        <item x="0"/>
        <item x="8"/>
        <item x="12"/>
        <item x="9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</pivotFields>
  <rowFields count="1">
    <field x="1"/>
  </rowFields>
  <rowItems count="6">
    <i>
      <x v="2"/>
    </i>
    <i>
      <x v="12"/>
    </i>
    <i>
      <x v="16"/>
    </i>
    <i>
      <x v="3"/>
    </i>
    <i>
      <x v="7"/>
    </i>
    <i t="grand">
      <x/>
    </i>
  </rowItems>
  <colItems count="1">
    <i/>
  </colItems>
  <dataFields count="1">
    <dataField name="Sum of S Units" fld="4" baseField="0" baseItem="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38DB16-2D79-4053-B122-D3B61BB99BD7}" name="PivotTable5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4:A15" firstHeaderRow="1" firstDataRow="1" firstDataCol="0"/>
  <pivotFields count="7">
    <pivotField showAll="0"/>
    <pivotField showAll="0"/>
    <pivotField showAll="0"/>
    <pivotField showAll="0"/>
    <pivotField showAll="0"/>
    <pivotField showAll="0"/>
    <pivotField dataField="1" showAll="0"/>
  </pivotFields>
  <rowItems count="1">
    <i/>
  </rowItems>
  <colItems count="1">
    <i/>
  </colItems>
  <dataFields count="1">
    <dataField name="Sum of Stock Amount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C0A0F4-49D1-45E3-847E-99D9761E3146}" name="PivotTable4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1:A12" firstHeaderRow="1" firstDataRow="1" firstDataCol="0"/>
  <pivotFields count="9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Items count="1">
    <i/>
  </rowItems>
  <colItems count="1">
    <i/>
  </colItems>
  <dataFields count="1">
    <dataField name="Sum of Amount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D8751C-EF91-45EC-8692-7020E9C0D0EE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8:A9" firstHeaderRow="1" firstDataRow="1" firstDataCol="0"/>
  <pivotFields count="7">
    <pivotField showAll="0"/>
    <pivotField showAll="0"/>
    <pivotField showAll="0"/>
    <pivotField showAll="0"/>
    <pivotField showAll="0"/>
    <pivotField showAll="0"/>
    <pivotField dataField="1" showAll="0"/>
  </pivotFields>
  <rowItems count="1">
    <i/>
  </rowItems>
  <colItems count="1">
    <i/>
  </colItems>
  <dataFields count="1">
    <dataField name="Sum of Amount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F75B75-299C-4E40-866C-5E0A0A5B2D57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A6" firstHeaderRow="1" firstDataRow="1" firstDataCol="0"/>
  <pivotFields count="4">
    <pivotField showAll="0"/>
    <pivotField dataField="1" showAll="0">
      <items count="17">
        <item x="10"/>
        <item x="14"/>
        <item x="6"/>
        <item x="13"/>
        <item x="15"/>
        <item x="3"/>
        <item x="11"/>
        <item x="7"/>
        <item x="1"/>
        <item x="4"/>
        <item x="5"/>
        <item x="0"/>
        <item x="8"/>
        <item x="12"/>
        <item x="9"/>
        <item x="2"/>
        <item t="default"/>
      </items>
    </pivotField>
    <pivotField showAll="0"/>
    <pivotField showAll="0"/>
  </pivotFields>
  <rowItems count="1">
    <i/>
  </rowItems>
  <colItems count="1">
    <i/>
  </colItems>
  <dataFields count="1">
    <dataField name="Count of PRODUCT NAME 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7F579E-1F0C-4D57-BB5C-B4EE79E5A378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A3" firstHeaderRow="1" firstDataRow="1" firstDataCol="0"/>
  <pivotFields count="4">
    <pivotField showAll="0"/>
    <pivotField dataField="1" showAll="0">
      <items count="9">
        <item x="3"/>
        <item x="5"/>
        <item x="1"/>
        <item x="7"/>
        <item x="6"/>
        <item x="2"/>
        <item x="4"/>
        <item x="0"/>
        <item t="default"/>
      </items>
    </pivotField>
    <pivotField showAll="0"/>
    <pivotField showAll="0"/>
  </pivotFields>
  <rowItems count="1">
    <i/>
  </rowItems>
  <colItems count="1">
    <i/>
  </colItems>
  <dataFields count="1">
    <dataField name="Count of NAM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BDA999-5F65-4593-859D-72EFCF327723}" name="Table1" displayName="Table1" ref="D8:G16" totalsRowShown="0" headerRowDxfId="48" dataDxfId="47">
  <autoFilter ref="D8:G16" xr:uid="{83BDA999-5F65-4593-859D-72EFCF327723}"/>
  <tableColumns count="4">
    <tableColumn id="1" xr3:uid="{B8DB5E97-1713-4256-A161-4D38270C8971}" name="CUST_ID" dataDxfId="46"/>
    <tableColumn id="2" xr3:uid="{15C64D0B-0245-4EF8-B398-B8540CCF4FF7}" name="NAME" dataDxfId="45"/>
    <tableColumn id="3" xr3:uid="{E31D11FD-47C9-4B3A-80E8-B771554834CE}" name="EMAIL" dataDxfId="44" dataCellStyle="Hyperlink"/>
    <tableColumn id="4" xr3:uid="{F704FD69-631E-4F0A-A275-DDD0ADD961EA}" name="ADDRESS" dataDxfId="43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C747967-14AB-4F38-AD98-3099D2027C57}" name="Products_data" displayName="Products_data" ref="D8:G24" totalsRowShown="0" headerRowDxfId="42" dataDxfId="41">
  <autoFilter ref="D8:G24" xr:uid="{5C747967-14AB-4F38-AD98-3099D2027C57}"/>
  <tableColumns count="4">
    <tableColumn id="1" xr3:uid="{24222EE7-43B4-4932-9ED6-B7960642E79D}" name="HSN CODE" dataDxfId="40"/>
    <tableColumn id="2" xr3:uid="{C659FA40-B281-4CBB-B6D1-C70931E30477}" name="PRODUCT NAME " dataDxfId="39"/>
    <tableColumn id="3" xr3:uid="{8B10982D-30E0-4C2F-BD0B-293E822F5717}" name="COST" dataDxfId="38"/>
    <tableColumn id="4" xr3:uid="{66E05FE7-0B38-4C4B-BC6F-ED672DB77C1D}" name="SELLING PRICE" dataDxfId="37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10018B6-2C64-4DAB-8456-D95CCCED9020}" name="Table3" displayName="Table3" ref="D8:H24" totalsRowShown="0" headerRowDxfId="36" dataDxfId="35">
  <autoFilter ref="D8:H24" xr:uid="{D10018B6-2C64-4DAB-8456-D95CCCED9020}"/>
  <tableColumns count="5">
    <tableColumn id="1" xr3:uid="{81E607D2-4B1A-4A92-B104-A2B656566280}" name="HSN CODE" dataDxfId="34"/>
    <tableColumn id="2" xr3:uid="{1B2AA97A-393A-4146-A032-F10958F003E5}" name="PRODUCT NAME " dataDxfId="33"/>
    <tableColumn id="3" xr3:uid="{3247CE74-58EB-471D-99D5-D062761BD130}" name="Vendor Name" dataDxfId="32"/>
    <tableColumn id="4" xr3:uid="{A945E123-F89B-49BE-8F2A-C8AF87A07C5D}" name="Phone" dataDxfId="31"/>
    <tableColumn id="5" xr3:uid="{022E827E-5ABB-47DF-ACCB-CFB821893DA6}" name="Address" dataDxfId="30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A51DA13-C03C-411C-AB77-7B2B09010D97}" name="Table4" displayName="Table4" ref="D9:J29" totalsRowShown="0" headerRowDxfId="19" dataDxfId="18">
  <autoFilter ref="D9:J29" xr:uid="{DA51DA13-C03C-411C-AB77-7B2B09010D97}"/>
  <tableColumns count="7">
    <tableColumn id="1" xr3:uid="{1F88497D-5E8B-4E42-B7F0-004E1BDFFFB9}" name="HSN Code " dataDxfId="17"/>
    <tableColumn id="2" xr3:uid="{ED02BED1-0E59-47BE-BDCE-99EF3E026882}" name="Product Name" dataDxfId="16">
      <calculatedColumnFormula>IFERROR(VLOOKUP(Table4[[#This Row],[HSN Code ]],Products_data[#All],2,0),"")</calculatedColumnFormula>
    </tableColumn>
    <tableColumn id="3" xr3:uid="{4DB48494-9771-4DCB-8453-23DF402D77E9}" name="Vendor" dataDxfId="15">
      <calculatedColumnFormula>IFERROR(VLOOKUP(Table4[[#This Row],[HSN Code ]],Table3[#All],3,0),"")</calculatedColumnFormula>
    </tableColumn>
    <tableColumn id="4" xr3:uid="{C0F9628A-8DC1-422C-8C8D-055500CFA1BC}" name="Date" dataDxfId="14"/>
    <tableColumn id="5" xr3:uid="{A2182970-1EF6-449E-B9F8-D85A5CED3672}" name="Units" dataDxfId="13"/>
    <tableColumn id="6" xr3:uid="{1847C57B-0DC2-4A62-B9F0-D611CBD7F3B6}" name="Cost" dataDxfId="12">
      <calculatedColumnFormula>IFERROR(VLOOKUP(Table4[[#This Row],[HSN Code ]],Products_data[#All],3,0)," ")</calculatedColumnFormula>
    </tableColumn>
    <tableColumn id="7" xr3:uid="{EEAEF305-1D6A-4E12-A51B-19C0C09BDDC7}" name="Amount" dataDxfId="11">
      <calculatedColumnFormula>IFERROR(Table4[[#This Row],[Cost]]*Table4[[#This Row],[Units]],"")</calculatedColumnFormula>
    </tableColumn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CD0B849-8CA6-43EC-92B0-AC2B5292A9D1}" name="Table5" displayName="Table5" ref="D8:L22" totalsRowShown="0" headerRowDxfId="25" dataDxfId="26">
  <autoFilter ref="D8:L22" xr:uid="{ACD0B849-8CA6-43EC-92B0-AC2B5292A9D1}"/>
  <tableColumns count="9">
    <tableColumn id="1" xr3:uid="{D30F758C-2A5D-4B34-8D9C-69BD83638594}" name="Cust_ID" dataDxfId="20"/>
    <tableColumn id="2" xr3:uid="{EBF0954B-60BD-4F59-9FDF-A6DA6D7FDBF5}" name="Cust_Name" dataDxfId="21">
      <calculatedColumnFormula>IFERROR(VLOOKUP(Table5[[#This Row],[Cust_ID]],Table1[],2,0),"")</calculatedColumnFormula>
    </tableColumn>
    <tableColumn id="3" xr3:uid="{B7C0C43B-D1B1-4851-BAAF-EF8CDEB6ACE6}" name="HSN Code" dataDxfId="29"/>
    <tableColumn id="4" xr3:uid="{E66C567D-F58B-4477-A83B-95A279E91DFA}" name="Product Name" dataDxfId="24">
      <calculatedColumnFormula>IFERROR(VLOOKUP(Table5[[#This Row],[HSN Code]],Products_data[#All],2,0),"")</calculatedColumnFormula>
    </tableColumn>
    <tableColumn id="5" xr3:uid="{42117D94-210F-4FB2-9AF3-340815F9561F}" name="Date" dataDxfId="28"/>
    <tableColumn id="6" xr3:uid="{FDDD713F-8B2E-4653-BABE-81BD4FAC6EEB}" name="Stock(Units)" dataDxfId="10">
      <calculatedColumnFormula>IFERROR(VLOOKUP(Table5[[#This Row],[HSN Code]],Table6[#All],6,0),"")</calculatedColumnFormula>
    </tableColumn>
    <tableColumn id="7" xr3:uid="{61A4B6C9-BFB7-42C7-B0C2-2D8F3F5CFABC}" name="Units" dataDxfId="27"/>
    <tableColumn id="8" xr3:uid="{3B24EBB8-9670-46F3-9CE6-B089E697AFDB}" name="Price" dataDxfId="23">
      <calculatedColumnFormula>IFERROR(VLOOKUP(Table5[[#This Row],[HSN Code]],Products_data[#All],4,0),"")</calculatedColumnFormula>
    </tableColumn>
    <tableColumn id="9" xr3:uid="{9F3F487E-C3EC-425F-B022-BCFFCE8FED52}" name="Amount" dataDxfId="22">
      <calculatedColumnFormula>IFERROR(Table5[[#This Row],[Price]]*Table5[[#This Row],[Units]],"")</calculatedColumnFormula>
    </tableColumn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FA6C542-95C5-4576-B529-EBBDB8675B29}" name="Table6" displayName="Table6" ref="D8:K24" totalsRowShown="0" headerRowDxfId="9" dataDxfId="8">
  <autoFilter ref="D8:K24" xr:uid="{0FA6C542-95C5-4576-B529-EBBDB8675B29}"/>
  <tableColumns count="8">
    <tableColumn id="1" xr3:uid="{A4494D05-5402-4EF0-BF07-2904644D692F}" name="HSN Code" dataDxfId="7">
      <calculatedColumnFormula>IFERROR(Products_data[[#This Row],[HSN CODE]],"")</calculatedColumnFormula>
    </tableColumn>
    <tableColumn id="2" xr3:uid="{686BEF72-9766-4DA2-AF1C-C6678F2F7DC9}" name="Product Name" dataDxfId="6">
      <calculatedColumnFormula>IFERROR(Products_data[[#This Row],[PRODUCT NAME ]],"")</calculatedColumnFormula>
    </tableColumn>
    <tableColumn id="3" xr3:uid="{C8B7BE5D-D83E-4E65-92FE-2AD401CA0FEB}" name="Cost" dataDxfId="5">
      <calculatedColumnFormula>IFERROR(Products_data[[#This Row],[COST]],"")</calculatedColumnFormula>
    </tableColumn>
    <tableColumn id="4" xr3:uid="{C19F2986-A58E-42DB-8D7A-4D30DCA4A4BF}" name="P Units" dataDxfId="4">
      <calculatedColumnFormula>SUMIF(Table4[Product Name],Table6[[#This Row],[Product Name]],Table4[Units])</calculatedColumnFormula>
    </tableColumn>
    <tableColumn id="5" xr3:uid="{DD5D642B-7599-433E-8C18-E22790AE88ED}" name="S Units" dataDxfId="3">
      <calculatedColumnFormula>SUMIF(Table5[Product Name],Table6[[#This Row],[Product Name]],Table5[Units])</calculatedColumnFormula>
    </tableColumn>
    <tableColumn id="6" xr3:uid="{F2CDF5D8-975B-4E0C-8749-4C52038EC56E}" name="Stock" dataDxfId="2">
      <calculatedColumnFormula>Table6[[#This Row],[P Units]]-Table6[[#This Row],[S Units]]</calculatedColumnFormula>
    </tableColumn>
    <tableColumn id="7" xr3:uid="{7C72DA90-DEE8-46BB-926C-D0551A632490}" name="Stock Amount" dataDxfId="1">
      <calculatedColumnFormula>IFERROR(Table6[[#This Row],[Stock]]*Table6[[#This Row],[Cost]],"")</calculatedColumnFormula>
    </tableColumn>
    <tableColumn id="8" xr3:uid="{8A2F9E8B-8702-4D9E-BB62-D3EC50B4AA13}" name="Notification" dataDxfId="0">
      <calculatedColumnFormula>IFERROR(IF(I9&lt;5,"📞"&amp;Table6[[#This Row],[Product Name]]&amp;" "&amp;"Need to Re-Order! PH " &amp; VLOOKUP(Table6[[#This Row],[HSN Code]],Table3[#All],4,0),""),"")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chan@gmail.com" TargetMode="External"/><Relationship Id="rId3" Type="http://schemas.openxmlformats.org/officeDocument/2006/relationships/hyperlink" Target="mailto:mk@gmail.com" TargetMode="External"/><Relationship Id="rId7" Type="http://schemas.openxmlformats.org/officeDocument/2006/relationships/hyperlink" Target="mailto:jain@gmail.com" TargetMode="External"/><Relationship Id="rId2" Type="http://schemas.openxmlformats.org/officeDocument/2006/relationships/hyperlink" Target="mailto:atul@gmail.com" TargetMode="External"/><Relationship Id="rId1" Type="http://schemas.openxmlformats.org/officeDocument/2006/relationships/hyperlink" Target="mailto:ram@gmail.com" TargetMode="External"/><Relationship Id="rId6" Type="http://schemas.openxmlformats.org/officeDocument/2006/relationships/hyperlink" Target="mailto:amit@gmail.com" TargetMode="External"/><Relationship Id="rId11" Type="http://schemas.openxmlformats.org/officeDocument/2006/relationships/table" Target="../tables/table1.xml"/><Relationship Id="rId5" Type="http://schemas.openxmlformats.org/officeDocument/2006/relationships/hyperlink" Target="mailto:rajesh@gmail.com" TargetMode="External"/><Relationship Id="rId10" Type="http://schemas.openxmlformats.org/officeDocument/2006/relationships/drawing" Target="../drawings/drawing2.xml"/><Relationship Id="rId4" Type="http://schemas.openxmlformats.org/officeDocument/2006/relationships/hyperlink" Target="mailto:99store@gmail.com" TargetMode="External"/><Relationship Id="rId9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FEF70-BF1B-4802-9ABA-A3A0B807A1A0}">
  <dimension ref="B1:W40"/>
  <sheetViews>
    <sheetView topLeftCell="B15" zoomScale="80" zoomScaleNormal="80" workbookViewId="0">
      <selection activeCell="Q40" sqref="Q40"/>
    </sheetView>
  </sheetViews>
  <sheetFormatPr defaultRowHeight="14.5" x14ac:dyDescent="0.35"/>
  <cols>
    <col min="1" max="1" width="3.1796875" style="1" customWidth="1"/>
    <col min="2" max="2" width="21.90625" style="2" customWidth="1"/>
    <col min="3" max="3" width="5.36328125" style="1" customWidth="1"/>
    <col min="4" max="9" width="8.7265625" style="1"/>
    <col min="10" max="10" width="8.7265625" style="1" customWidth="1"/>
    <col min="11" max="15" width="8.7265625" style="1"/>
    <col min="16" max="16" width="13.81640625" style="1" customWidth="1"/>
    <col min="17" max="21" width="8.7265625" style="1"/>
    <col min="22" max="22" width="3.81640625" style="1" customWidth="1"/>
    <col min="23" max="23" width="7.08984375" style="1" customWidth="1"/>
    <col min="24" max="16384" width="8.7265625" style="1"/>
  </cols>
  <sheetData>
    <row r="1" spans="2:23" x14ac:dyDescent="0.35">
      <c r="B1" s="1"/>
    </row>
    <row r="15" spans="2:23" ht="19.5" x14ac:dyDescent="0.45">
      <c r="Q15" s="18" t="s">
        <v>118</v>
      </c>
      <c r="R15" s="17"/>
      <c r="S15" s="17"/>
      <c r="T15" s="17"/>
      <c r="U15" s="17"/>
      <c r="V15" s="17"/>
      <c r="W15" s="17"/>
    </row>
    <row r="16" spans="2:23" x14ac:dyDescent="0.35">
      <c r="Q16" s="20" t="str">
        <f>IF(Inventory!K11:K30&lt;&gt;"",Inventory!K11:K30,Inventory!K11:K30)</f>
        <v/>
      </c>
      <c r="R16" s="20"/>
      <c r="S16" s="20"/>
      <c r="T16" s="20"/>
      <c r="U16" s="20"/>
      <c r="V16" s="2"/>
      <c r="W16" s="2"/>
    </row>
    <row r="17" spans="17:23" x14ac:dyDescent="0.35">
      <c r="Q17" s="20" t="str">
        <f>IF(Table6[Notification]&lt;&gt;"",Table6[Notification],"")</f>
        <v>📞Speakers Need to Re-Order! PH 9812XXXXXX</v>
      </c>
      <c r="R17" s="20"/>
      <c r="S17" s="20"/>
      <c r="T17" s="20"/>
      <c r="U17" s="20"/>
      <c r="V17" s="2"/>
      <c r="W17" s="2"/>
    </row>
    <row r="18" spans="17:23" x14ac:dyDescent="0.35">
      <c r="Q18" s="20" t="str">
        <f>IF(Table6[Notification]&lt;&gt;"",Table6[Notification],"")</f>
        <v>📞Tablets Need to Re-Order! PH 9812XXXXXX</v>
      </c>
      <c r="R18" s="20"/>
      <c r="S18" s="20"/>
      <c r="T18" s="20"/>
      <c r="U18" s="20"/>
      <c r="V18" s="2"/>
      <c r="W18" s="2"/>
    </row>
    <row r="19" spans="17:23" x14ac:dyDescent="0.35">
      <c r="Q19" s="20" t="str">
        <f>IF(Table6[Notification]&lt;&gt;"",Table6[Notification],"")</f>
        <v/>
      </c>
      <c r="R19" s="20"/>
      <c r="S19" s="20"/>
      <c r="T19" s="20"/>
      <c r="U19" s="20"/>
      <c r="V19" s="2"/>
      <c r="W19" s="2"/>
    </row>
    <row r="20" spans="17:23" x14ac:dyDescent="0.35">
      <c r="Q20" s="20" t="str">
        <f>IF(Table6[Notification]&lt;&gt;"",Table6[Notification],"")</f>
        <v/>
      </c>
      <c r="R20" s="20"/>
      <c r="S20" s="20"/>
      <c r="T20" s="20"/>
      <c r="U20" s="20"/>
      <c r="V20" s="2"/>
      <c r="W20" s="2"/>
    </row>
    <row r="21" spans="17:23" x14ac:dyDescent="0.35">
      <c r="Q21" s="20" t="str">
        <f>IF(Table6[Notification]&lt;&gt;"",Table6[Notification],"")</f>
        <v/>
      </c>
      <c r="R21" s="20"/>
      <c r="S21" s="20"/>
      <c r="T21" s="20"/>
      <c r="U21" s="20"/>
      <c r="V21" s="2"/>
      <c r="W21" s="2"/>
    </row>
    <row r="22" spans="17:23" x14ac:dyDescent="0.35">
      <c r="Q22" s="20" t="str">
        <f>IF(Table6[Notification]&lt;&gt;"",Table6[Notification],"")</f>
        <v>📞CCTV  Need to Re-Order! PH 6355478832</v>
      </c>
      <c r="R22" s="20"/>
      <c r="S22" s="20"/>
      <c r="T22" s="20"/>
      <c r="U22" s="20"/>
      <c r="V22" s="2"/>
      <c r="W22" s="2"/>
    </row>
    <row r="23" spans="17:23" x14ac:dyDescent="0.35">
      <c r="Q23" s="20" t="str">
        <f>IF(Table6[Notification]&lt;&gt;"",Table6[Notification],"")</f>
        <v/>
      </c>
      <c r="R23" s="20"/>
      <c r="S23" s="20"/>
      <c r="T23" s="20"/>
      <c r="U23" s="20"/>
      <c r="V23" s="2"/>
      <c r="W23" s="2"/>
    </row>
    <row r="24" spans="17:23" x14ac:dyDescent="0.35">
      <c r="Q24" s="20" t="str">
        <f>IF(Table6[Notification]&lt;&gt;"",Table6[Notification],"")</f>
        <v>📞CYCLE Need to Re-Order! PH 9898254831</v>
      </c>
      <c r="R24" s="20"/>
      <c r="S24" s="20"/>
      <c r="T24" s="20"/>
      <c r="U24" s="20"/>
      <c r="V24" s="2"/>
      <c r="W24" s="2"/>
    </row>
    <row r="25" spans="17:23" x14ac:dyDescent="0.35">
      <c r="Q25" s="20"/>
      <c r="R25" s="20"/>
      <c r="S25" s="20"/>
      <c r="T25" s="20"/>
      <c r="U25" s="20"/>
      <c r="V25" s="2"/>
      <c r="W25" s="2"/>
    </row>
    <row r="26" spans="17:23" x14ac:dyDescent="0.35">
      <c r="Q26" s="20"/>
      <c r="R26" s="20"/>
      <c r="S26" s="20"/>
      <c r="T26" s="20"/>
      <c r="U26" s="20"/>
      <c r="V26" s="2"/>
      <c r="W26" s="2"/>
    </row>
    <row r="27" spans="17:23" x14ac:dyDescent="0.35">
      <c r="Q27" s="20"/>
      <c r="R27" s="20"/>
      <c r="S27" s="20"/>
      <c r="T27" s="20"/>
      <c r="U27" s="20"/>
      <c r="V27" s="2"/>
      <c r="W27" s="2"/>
    </row>
    <row r="28" spans="17:23" x14ac:dyDescent="0.35">
      <c r="Q28" s="20"/>
      <c r="R28" s="20"/>
      <c r="S28" s="20"/>
      <c r="T28" s="20"/>
      <c r="U28" s="20"/>
      <c r="V28" s="2"/>
      <c r="W28" s="2"/>
    </row>
    <row r="29" spans="17:23" x14ac:dyDescent="0.35">
      <c r="Q29" s="20"/>
      <c r="R29" s="20"/>
      <c r="S29" s="20"/>
      <c r="T29" s="20"/>
      <c r="U29" s="20"/>
      <c r="V29" s="2"/>
      <c r="W29" s="2"/>
    </row>
    <row r="30" spans="17:23" x14ac:dyDescent="0.35">
      <c r="Q30" s="2"/>
      <c r="R30" s="2"/>
      <c r="S30" s="2"/>
      <c r="T30" s="2"/>
      <c r="U30" s="2"/>
      <c r="V30" s="2"/>
      <c r="W30" s="2"/>
    </row>
    <row r="31" spans="17:23" x14ac:dyDescent="0.35">
      <c r="Q31" s="2"/>
      <c r="R31" s="2"/>
      <c r="S31" s="2"/>
      <c r="T31" s="2"/>
      <c r="U31" s="2"/>
      <c r="V31" s="2"/>
      <c r="W31" s="2"/>
    </row>
    <row r="32" spans="17:23" x14ac:dyDescent="0.35">
      <c r="Q32" s="2"/>
      <c r="R32" s="2"/>
      <c r="S32" s="2"/>
      <c r="T32" s="2"/>
      <c r="U32" s="2"/>
      <c r="V32" s="2"/>
      <c r="W32" s="2"/>
    </row>
    <row r="33" spans="2:23" x14ac:dyDescent="0.35">
      <c r="Q33" s="2"/>
      <c r="R33" s="2"/>
      <c r="S33" s="2"/>
      <c r="T33" s="2"/>
      <c r="U33" s="2"/>
      <c r="V33" s="2"/>
      <c r="W33" s="2"/>
    </row>
    <row r="34" spans="2:23" x14ac:dyDescent="0.35">
      <c r="Q34" s="2"/>
      <c r="R34" s="2"/>
      <c r="S34" s="2"/>
      <c r="T34" s="2"/>
      <c r="U34" s="2"/>
      <c r="V34" s="2"/>
      <c r="W34" s="2"/>
    </row>
    <row r="35" spans="2:23" x14ac:dyDescent="0.35">
      <c r="Q35" s="2"/>
      <c r="R35" s="2"/>
      <c r="S35" s="2"/>
      <c r="T35" s="2"/>
      <c r="U35" s="2"/>
      <c r="V35" s="2"/>
      <c r="W35" s="2"/>
    </row>
    <row r="36" spans="2:23" x14ac:dyDescent="0.35">
      <c r="Q36" s="2"/>
      <c r="R36" s="2"/>
      <c r="S36" s="2"/>
      <c r="T36" s="2"/>
      <c r="U36" s="2"/>
      <c r="V36" s="2"/>
      <c r="W36" s="2"/>
    </row>
    <row r="37" spans="2:23" x14ac:dyDescent="0.35">
      <c r="Q37" s="2"/>
      <c r="R37" s="2"/>
      <c r="S37" s="2"/>
      <c r="T37" s="2"/>
      <c r="U37" s="2"/>
      <c r="V37" s="2"/>
      <c r="W37" s="2"/>
    </row>
    <row r="38" spans="2:23" x14ac:dyDescent="0.35">
      <c r="Q38" s="2"/>
      <c r="R38" s="2"/>
      <c r="S38" s="2"/>
      <c r="T38" s="2"/>
      <c r="U38" s="2"/>
      <c r="V38" s="2"/>
      <c r="W38" s="2"/>
    </row>
    <row r="39" spans="2:23" x14ac:dyDescent="0.35">
      <c r="B39" s="1"/>
    </row>
    <row r="40" spans="2:23" x14ac:dyDescent="0.35">
      <c r="B40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5F0DA-5D42-48CC-8241-B6BD0D159C23}">
  <dimension ref="B1:G16"/>
  <sheetViews>
    <sheetView zoomScale="70" zoomScaleNormal="70" workbookViewId="0">
      <pane xSplit="3" ySplit="8" topLeftCell="D9" activePane="bottomRight" state="frozen"/>
      <selection pane="topRight" activeCell="D1" sqref="D1"/>
      <selection pane="bottomLeft" activeCell="A9" sqref="A9"/>
      <selection pane="bottomRight" activeCell="D8" sqref="D8:G16"/>
    </sheetView>
  </sheetViews>
  <sheetFormatPr defaultRowHeight="14.5" x14ac:dyDescent="0.35"/>
  <cols>
    <col min="1" max="1" width="3.1796875" style="1" customWidth="1"/>
    <col min="2" max="2" width="22.90625" style="2" customWidth="1"/>
    <col min="3" max="3" width="6.26953125" style="1" customWidth="1"/>
    <col min="4" max="4" width="13.6328125" style="1" customWidth="1"/>
    <col min="5" max="5" width="16.453125" style="1" bestFit="1" customWidth="1"/>
    <col min="6" max="6" width="24.08984375" style="1" bestFit="1" customWidth="1"/>
    <col min="7" max="7" width="21.81640625" style="1" bestFit="1" customWidth="1"/>
    <col min="8" max="16384" width="8.7265625" style="1"/>
  </cols>
  <sheetData>
    <row r="1" spans="2:7" x14ac:dyDescent="0.35">
      <c r="B1" s="1"/>
    </row>
    <row r="8" spans="2:7" ht="18.5" x14ac:dyDescent="0.45">
      <c r="D8" s="3" t="s">
        <v>0</v>
      </c>
      <c r="E8" s="3" t="s">
        <v>1</v>
      </c>
      <c r="F8" s="3" t="s">
        <v>2</v>
      </c>
      <c r="G8" s="3" t="s">
        <v>3</v>
      </c>
    </row>
    <row r="9" spans="2:7" ht="19.5" x14ac:dyDescent="0.45">
      <c r="D9" s="6">
        <v>100</v>
      </c>
      <c r="E9" s="4" t="s">
        <v>4</v>
      </c>
      <c r="F9" s="5" t="s">
        <v>11</v>
      </c>
      <c r="G9" s="4" t="s">
        <v>18</v>
      </c>
    </row>
    <row r="10" spans="2:7" ht="19.5" x14ac:dyDescent="0.45">
      <c r="D10" s="6">
        <v>101</v>
      </c>
      <c r="E10" s="4" t="s">
        <v>5</v>
      </c>
      <c r="F10" s="5" t="s">
        <v>12</v>
      </c>
      <c r="G10" s="4" t="s">
        <v>19</v>
      </c>
    </row>
    <row r="11" spans="2:7" ht="19.5" x14ac:dyDescent="0.45">
      <c r="D11" s="6">
        <v>102</v>
      </c>
      <c r="E11" s="4" t="s">
        <v>6</v>
      </c>
      <c r="F11" s="5" t="s">
        <v>13</v>
      </c>
      <c r="G11" s="4" t="s">
        <v>20</v>
      </c>
    </row>
    <row r="12" spans="2:7" ht="19.5" x14ac:dyDescent="0.45">
      <c r="D12" s="6">
        <v>103</v>
      </c>
      <c r="E12" s="4" t="s">
        <v>7</v>
      </c>
      <c r="F12" s="5" t="s">
        <v>14</v>
      </c>
      <c r="G12" s="4" t="s">
        <v>21</v>
      </c>
    </row>
    <row r="13" spans="2:7" ht="19.5" x14ac:dyDescent="0.45">
      <c r="D13" s="6">
        <v>104</v>
      </c>
      <c r="E13" s="4" t="s">
        <v>8</v>
      </c>
      <c r="F13" s="5" t="s">
        <v>15</v>
      </c>
      <c r="G13" s="4" t="s">
        <v>22</v>
      </c>
    </row>
    <row r="14" spans="2:7" ht="19.5" x14ac:dyDescent="0.45">
      <c r="D14" s="6">
        <v>105</v>
      </c>
      <c r="E14" s="4" t="s">
        <v>9</v>
      </c>
      <c r="F14" s="5" t="s">
        <v>16</v>
      </c>
      <c r="G14" s="4" t="s">
        <v>23</v>
      </c>
    </row>
    <row r="15" spans="2:7" ht="19.5" x14ac:dyDescent="0.45">
      <c r="D15" s="6">
        <v>106</v>
      </c>
      <c r="E15" s="4" t="s">
        <v>10</v>
      </c>
      <c r="F15" s="5" t="s">
        <v>17</v>
      </c>
      <c r="G15" s="4" t="s">
        <v>24</v>
      </c>
    </row>
    <row r="16" spans="2:7" ht="19.5" x14ac:dyDescent="0.45">
      <c r="D16" s="6">
        <v>107</v>
      </c>
      <c r="E16" s="4" t="s">
        <v>96</v>
      </c>
      <c r="F16" s="5" t="s">
        <v>97</v>
      </c>
      <c r="G16" s="4" t="s">
        <v>98</v>
      </c>
    </row>
  </sheetData>
  <hyperlinks>
    <hyperlink ref="F9" r:id="rId1" xr:uid="{5ECF59B2-3551-40DE-849C-CF497D802DB5}"/>
    <hyperlink ref="F10" r:id="rId2" xr:uid="{60581E9A-3990-436E-A661-E890DC29C884}"/>
    <hyperlink ref="F11" r:id="rId3" xr:uid="{1C991227-FD35-4672-91B0-8BB17FB0B36B}"/>
    <hyperlink ref="F12" r:id="rId4" xr:uid="{A7BE9726-2C49-4471-9C0F-733F5E410CE5}"/>
    <hyperlink ref="F13" r:id="rId5" xr:uid="{F11F772E-6A94-402E-B2D4-6CDA8E4549BD}"/>
    <hyperlink ref="F14" r:id="rId6" xr:uid="{3AE4CECD-D25F-4074-A6E1-F00B4079362B}"/>
    <hyperlink ref="F15" r:id="rId7" xr:uid="{98CC2A53-EF67-4C20-9B48-0E8D19F0E898}"/>
    <hyperlink ref="F16" r:id="rId8" xr:uid="{CE484474-668D-4912-A3FD-2A1BBA3212AD}"/>
  </hyperlinks>
  <pageMargins left="0.7" right="0.7" top="0.75" bottom="0.75" header="0.3" footer="0.3"/>
  <pageSetup orientation="portrait" r:id="rId9"/>
  <drawing r:id="rId10"/>
  <tableParts count="1">
    <tablePart r:id="rId1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F7E62-0169-4AFC-BBB7-FD358BA5DB5A}">
  <dimension ref="B1:G24"/>
  <sheetViews>
    <sheetView zoomScale="70" zoomScaleNormal="70" workbookViewId="0">
      <pane xSplit="3" ySplit="8" topLeftCell="D9" activePane="bottomRight" state="frozen"/>
      <selection pane="topRight" activeCell="D1" sqref="D1"/>
      <selection pane="bottomLeft" activeCell="A9" sqref="A9"/>
      <selection pane="bottomRight" activeCell="D8" sqref="D8:G24"/>
    </sheetView>
  </sheetViews>
  <sheetFormatPr defaultRowHeight="14.5" x14ac:dyDescent="0.35"/>
  <cols>
    <col min="1" max="1" width="3.1796875" style="1" customWidth="1"/>
    <col min="2" max="2" width="21.90625" style="2" customWidth="1"/>
    <col min="3" max="3" width="5.453125" style="1" customWidth="1"/>
    <col min="4" max="4" width="11" style="1" customWidth="1"/>
    <col min="5" max="5" width="16.453125" style="1" customWidth="1"/>
    <col min="6" max="6" width="7" style="1" customWidth="1"/>
    <col min="7" max="7" width="14.26953125" style="1" customWidth="1"/>
    <col min="8" max="16384" width="8.7265625" style="1"/>
  </cols>
  <sheetData>
    <row r="1" spans="2:7" x14ac:dyDescent="0.35">
      <c r="B1" s="1"/>
    </row>
    <row r="8" spans="2:7" x14ac:dyDescent="0.35">
      <c r="D8" s="1" t="s">
        <v>25</v>
      </c>
      <c r="E8" s="1" t="s">
        <v>26</v>
      </c>
      <c r="F8" s="1" t="s">
        <v>27</v>
      </c>
      <c r="G8" s="1" t="s">
        <v>28</v>
      </c>
    </row>
    <row r="9" spans="2:7" x14ac:dyDescent="0.35">
      <c r="D9" s="1" t="s">
        <v>29</v>
      </c>
      <c r="E9" s="1" t="s">
        <v>43</v>
      </c>
      <c r="F9" s="1">
        <v>980</v>
      </c>
      <c r="G9" s="1">
        <v>1176</v>
      </c>
    </row>
    <row r="10" spans="2:7" x14ac:dyDescent="0.35">
      <c r="D10" s="1" t="s">
        <v>30</v>
      </c>
      <c r="E10" s="1" t="s">
        <v>44</v>
      </c>
      <c r="F10" s="1">
        <v>34500</v>
      </c>
      <c r="G10" s="1">
        <v>41400</v>
      </c>
    </row>
    <row r="11" spans="2:7" x14ac:dyDescent="0.35">
      <c r="D11" s="1" t="s">
        <v>31</v>
      </c>
      <c r="E11" s="1" t="s">
        <v>45</v>
      </c>
      <c r="F11" s="1">
        <v>4600</v>
      </c>
      <c r="G11" s="1">
        <v>5520</v>
      </c>
    </row>
    <row r="12" spans="2:7" x14ac:dyDescent="0.35">
      <c r="D12" s="1" t="s">
        <v>32</v>
      </c>
      <c r="E12" s="1" t="s">
        <v>46</v>
      </c>
      <c r="F12" s="1">
        <v>21000</v>
      </c>
      <c r="G12" s="1">
        <v>25200</v>
      </c>
    </row>
    <row r="13" spans="2:7" x14ac:dyDescent="0.35">
      <c r="D13" s="1" t="s">
        <v>33</v>
      </c>
      <c r="E13" s="1" t="s">
        <v>47</v>
      </c>
      <c r="F13" s="1">
        <v>200</v>
      </c>
      <c r="G13" s="1">
        <v>240</v>
      </c>
    </row>
    <row r="14" spans="2:7" x14ac:dyDescent="0.35">
      <c r="D14" s="1" t="s">
        <v>34</v>
      </c>
      <c r="E14" s="1" t="s">
        <v>48</v>
      </c>
      <c r="F14" s="1">
        <v>340</v>
      </c>
      <c r="G14" s="1">
        <v>408</v>
      </c>
    </row>
    <row r="15" spans="2:7" x14ac:dyDescent="0.35">
      <c r="D15" s="1" t="s">
        <v>35</v>
      </c>
      <c r="E15" s="1" t="s">
        <v>49</v>
      </c>
      <c r="F15" s="1">
        <v>52000</v>
      </c>
      <c r="G15" s="1">
        <v>62400</v>
      </c>
    </row>
    <row r="16" spans="2:7" x14ac:dyDescent="0.35">
      <c r="D16" s="1" t="s">
        <v>36</v>
      </c>
      <c r="E16" s="1" t="s">
        <v>50</v>
      </c>
      <c r="F16" s="1">
        <v>799</v>
      </c>
      <c r="G16" s="1">
        <v>958.8</v>
      </c>
    </row>
    <row r="17" spans="4:7" x14ac:dyDescent="0.35">
      <c r="D17" s="1" t="s">
        <v>37</v>
      </c>
      <c r="E17" s="1" t="s">
        <v>51</v>
      </c>
      <c r="F17" s="1">
        <v>670</v>
      </c>
      <c r="G17" s="1">
        <v>804</v>
      </c>
    </row>
    <row r="18" spans="4:7" x14ac:dyDescent="0.35">
      <c r="D18" s="1" t="s">
        <v>38</v>
      </c>
      <c r="E18" s="1" t="s">
        <v>52</v>
      </c>
      <c r="F18" s="1">
        <v>23500</v>
      </c>
      <c r="G18" s="1">
        <v>28200</v>
      </c>
    </row>
    <row r="19" spans="4:7" x14ac:dyDescent="0.35">
      <c r="D19" s="1" t="s">
        <v>39</v>
      </c>
      <c r="E19" s="1" t="s">
        <v>53</v>
      </c>
      <c r="F19" s="1">
        <v>40000</v>
      </c>
      <c r="G19" s="1">
        <v>42000</v>
      </c>
    </row>
    <row r="20" spans="4:7" x14ac:dyDescent="0.35">
      <c r="D20" s="1" t="s">
        <v>40</v>
      </c>
      <c r="E20" s="1" t="s">
        <v>54</v>
      </c>
      <c r="F20" s="1">
        <v>25000</v>
      </c>
      <c r="G20" s="1">
        <v>28000</v>
      </c>
    </row>
    <row r="21" spans="4:7" x14ac:dyDescent="0.35">
      <c r="D21" s="1" t="s">
        <v>41</v>
      </c>
      <c r="E21" s="1" t="s">
        <v>55</v>
      </c>
      <c r="F21" s="1">
        <v>15000</v>
      </c>
      <c r="G21" s="1">
        <v>17000</v>
      </c>
    </row>
    <row r="22" spans="4:7" x14ac:dyDescent="0.35">
      <c r="D22" s="1" t="s">
        <v>42</v>
      </c>
      <c r="E22" s="1" t="s">
        <v>56</v>
      </c>
      <c r="F22" s="1">
        <v>5000</v>
      </c>
      <c r="G22" s="1">
        <v>6500</v>
      </c>
    </row>
    <row r="23" spans="4:7" x14ac:dyDescent="0.35">
      <c r="D23" s="1" t="s">
        <v>88</v>
      </c>
      <c r="E23" s="1" t="s">
        <v>103</v>
      </c>
      <c r="F23" s="1">
        <v>78000</v>
      </c>
      <c r="G23" s="1">
        <v>80000</v>
      </c>
    </row>
    <row r="24" spans="4:7" x14ac:dyDescent="0.35">
      <c r="D24" s="1" t="s">
        <v>89</v>
      </c>
      <c r="E24" s="1" t="s">
        <v>90</v>
      </c>
      <c r="F24" s="1">
        <v>5656</v>
      </c>
      <c r="G24" s="1">
        <v>6000</v>
      </c>
    </row>
  </sheetData>
  <phoneticPr fontId="6" type="noConversion"/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AA0AC-F9B8-4B6B-A2B6-3340BAD18A3F}">
  <dimension ref="B1:H24"/>
  <sheetViews>
    <sheetView zoomScale="70" zoomScaleNormal="70" workbookViewId="0">
      <pane xSplit="3" ySplit="8" topLeftCell="D9" activePane="bottomRight" state="frozen"/>
      <selection pane="topRight" activeCell="D1" sqref="D1"/>
      <selection pane="bottomLeft" activeCell="A9" sqref="A9"/>
      <selection pane="bottomRight" activeCell="F28" sqref="F28"/>
    </sheetView>
  </sheetViews>
  <sheetFormatPr defaultRowHeight="14.5" x14ac:dyDescent="0.35"/>
  <cols>
    <col min="1" max="1" width="3.1796875" style="1" customWidth="1"/>
    <col min="2" max="2" width="21.90625" style="2" customWidth="1"/>
    <col min="3" max="3" width="5.36328125" style="1" customWidth="1"/>
    <col min="4" max="4" width="16.6328125" style="1" customWidth="1"/>
    <col min="5" max="5" width="18.6328125" style="1" customWidth="1"/>
    <col min="6" max="6" width="19" style="1" customWidth="1"/>
    <col min="7" max="7" width="18.54296875" style="8" customWidth="1"/>
    <col min="8" max="8" width="25.54296875" style="1" customWidth="1"/>
    <col min="9" max="16384" width="8.7265625" style="1"/>
  </cols>
  <sheetData>
    <row r="1" spans="2:8" x14ac:dyDescent="0.35">
      <c r="B1" s="1"/>
    </row>
    <row r="8" spans="2:8" x14ac:dyDescent="0.35">
      <c r="D8" s="7" t="s">
        <v>25</v>
      </c>
      <c r="E8" s="7" t="s">
        <v>26</v>
      </c>
      <c r="F8" s="1" t="s">
        <v>57</v>
      </c>
      <c r="G8" s="8" t="s">
        <v>58</v>
      </c>
      <c r="H8" s="1" t="s">
        <v>59</v>
      </c>
    </row>
    <row r="9" spans="2:8" x14ac:dyDescent="0.35">
      <c r="D9" s="1" t="s">
        <v>29</v>
      </c>
      <c r="E9" s="1" t="s">
        <v>43</v>
      </c>
      <c r="F9" s="1" t="s">
        <v>60</v>
      </c>
      <c r="G9" s="8" t="s">
        <v>64</v>
      </c>
      <c r="H9" s="1" t="s">
        <v>65</v>
      </c>
    </row>
    <row r="10" spans="2:8" x14ac:dyDescent="0.35">
      <c r="D10" s="1" t="s">
        <v>30</v>
      </c>
      <c r="E10" s="1" t="s">
        <v>44</v>
      </c>
      <c r="F10" s="1" t="s">
        <v>60</v>
      </c>
      <c r="G10" s="8" t="s">
        <v>64</v>
      </c>
      <c r="H10" s="1" t="s">
        <v>66</v>
      </c>
    </row>
    <row r="11" spans="2:8" x14ac:dyDescent="0.35">
      <c r="D11" s="1" t="s">
        <v>31</v>
      </c>
      <c r="E11" s="1" t="s">
        <v>45</v>
      </c>
      <c r="F11" s="1" t="s">
        <v>60</v>
      </c>
      <c r="G11" s="8" t="s">
        <v>64</v>
      </c>
      <c r="H11" s="1" t="s">
        <v>67</v>
      </c>
    </row>
    <row r="12" spans="2:8" x14ac:dyDescent="0.35">
      <c r="D12" s="1" t="s">
        <v>32</v>
      </c>
      <c r="E12" s="1" t="s">
        <v>46</v>
      </c>
      <c r="F12" s="1" t="s">
        <v>61</v>
      </c>
      <c r="G12" s="8" t="s">
        <v>64</v>
      </c>
      <c r="H12" s="1" t="s">
        <v>72</v>
      </c>
    </row>
    <row r="13" spans="2:8" x14ac:dyDescent="0.35">
      <c r="D13" s="1" t="s">
        <v>33</v>
      </c>
      <c r="E13" s="1" t="s">
        <v>47</v>
      </c>
      <c r="F13" s="1" t="s">
        <v>61</v>
      </c>
      <c r="G13" s="8" t="s">
        <v>64</v>
      </c>
      <c r="H13" s="1" t="s">
        <v>73</v>
      </c>
    </row>
    <row r="14" spans="2:8" x14ac:dyDescent="0.35">
      <c r="D14" s="1" t="s">
        <v>34</v>
      </c>
      <c r="E14" s="1" t="s">
        <v>48</v>
      </c>
      <c r="F14" s="1" t="s">
        <v>61</v>
      </c>
      <c r="G14" s="8" t="s">
        <v>64</v>
      </c>
      <c r="H14" s="1" t="s">
        <v>74</v>
      </c>
    </row>
    <row r="15" spans="2:8" x14ac:dyDescent="0.35">
      <c r="D15" s="1" t="s">
        <v>35</v>
      </c>
      <c r="E15" s="1" t="s">
        <v>49</v>
      </c>
      <c r="F15" s="1" t="s">
        <v>61</v>
      </c>
      <c r="G15" s="8" t="s">
        <v>64</v>
      </c>
      <c r="H15" s="1" t="s">
        <v>75</v>
      </c>
    </row>
    <row r="16" spans="2:8" x14ac:dyDescent="0.35">
      <c r="D16" s="1" t="s">
        <v>36</v>
      </c>
      <c r="E16" s="1" t="s">
        <v>50</v>
      </c>
      <c r="F16" s="1" t="s">
        <v>62</v>
      </c>
      <c r="G16" s="8" t="s">
        <v>64</v>
      </c>
      <c r="H16" s="1" t="s">
        <v>76</v>
      </c>
    </row>
    <row r="17" spans="4:8" x14ac:dyDescent="0.35">
      <c r="D17" s="1" t="s">
        <v>37</v>
      </c>
      <c r="E17" s="1" t="s">
        <v>51</v>
      </c>
      <c r="F17" s="1" t="s">
        <v>62</v>
      </c>
      <c r="G17" s="8" t="s">
        <v>64</v>
      </c>
      <c r="H17" s="1" t="s">
        <v>77</v>
      </c>
    </row>
    <row r="18" spans="4:8" x14ac:dyDescent="0.35">
      <c r="D18" s="1" t="s">
        <v>38</v>
      </c>
      <c r="E18" s="1" t="s">
        <v>52</v>
      </c>
      <c r="F18" s="1" t="s">
        <v>62</v>
      </c>
      <c r="G18" s="8" t="s">
        <v>64</v>
      </c>
      <c r="H18" s="1" t="s">
        <v>78</v>
      </c>
    </row>
    <row r="19" spans="4:8" x14ac:dyDescent="0.35">
      <c r="D19" s="1" t="s">
        <v>39</v>
      </c>
      <c r="E19" s="1" t="s">
        <v>53</v>
      </c>
      <c r="F19" s="1" t="s">
        <v>63</v>
      </c>
      <c r="G19" s="8">
        <v>8799268501</v>
      </c>
      <c r="H19" s="1" t="s">
        <v>68</v>
      </c>
    </row>
    <row r="20" spans="4:8" x14ac:dyDescent="0.35">
      <c r="D20" s="1" t="s">
        <v>40</v>
      </c>
      <c r="E20" s="1" t="s">
        <v>54</v>
      </c>
      <c r="F20" s="1" t="s">
        <v>63</v>
      </c>
      <c r="G20" s="8">
        <v>9510867961</v>
      </c>
      <c r="H20" s="1" t="s">
        <v>69</v>
      </c>
    </row>
    <row r="21" spans="4:8" x14ac:dyDescent="0.35">
      <c r="D21" s="1" t="s">
        <v>41</v>
      </c>
      <c r="E21" s="1" t="s">
        <v>55</v>
      </c>
      <c r="F21" s="1" t="s">
        <v>63</v>
      </c>
      <c r="G21" s="8">
        <v>9925836354</v>
      </c>
      <c r="H21" s="1" t="s">
        <v>70</v>
      </c>
    </row>
    <row r="22" spans="4:8" x14ac:dyDescent="0.35">
      <c r="D22" s="1" t="s">
        <v>42</v>
      </c>
      <c r="E22" s="1" t="s">
        <v>56</v>
      </c>
      <c r="F22" s="1" t="s">
        <v>63</v>
      </c>
      <c r="G22" s="8">
        <v>6355478832</v>
      </c>
      <c r="H22" s="1" t="s">
        <v>71</v>
      </c>
    </row>
    <row r="23" spans="4:8" x14ac:dyDescent="0.35">
      <c r="D23" s="1" t="s">
        <v>88</v>
      </c>
      <c r="E23" s="1" t="s">
        <v>103</v>
      </c>
      <c r="F23" s="1" t="s">
        <v>63</v>
      </c>
      <c r="G23" s="8">
        <v>6355478832</v>
      </c>
      <c r="H23" s="1" t="s">
        <v>71</v>
      </c>
    </row>
    <row r="24" spans="4:8" x14ac:dyDescent="0.35">
      <c r="D24" s="1" t="s">
        <v>89</v>
      </c>
      <c r="E24" s="1" t="s">
        <v>90</v>
      </c>
      <c r="F24" s="1" t="s">
        <v>63</v>
      </c>
      <c r="G24" s="8">
        <v>9898254831</v>
      </c>
      <c r="H24" s="1" t="s">
        <v>71</v>
      </c>
    </row>
  </sheetData>
  <phoneticPr fontId="6" type="noConversion"/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8A3C6-D48F-4EB2-94B4-30B6DBDCE575}">
  <dimension ref="B1:E12"/>
  <sheetViews>
    <sheetView zoomScale="70" zoomScaleNormal="70" workbookViewId="0">
      <selection activeCell="E10" sqref="E10"/>
    </sheetView>
  </sheetViews>
  <sheetFormatPr defaultRowHeight="14.5" x14ac:dyDescent="0.35"/>
  <cols>
    <col min="1" max="1" width="3.1796875" style="1" customWidth="1"/>
    <col min="2" max="2" width="21.90625" style="2" customWidth="1"/>
    <col min="3" max="3" width="5.36328125" style="1" customWidth="1"/>
    <col min="4" max="16384" width="8.7265625" style="1"/>
  </cols>
  <sheetData>
    <row r="1" spans="2:5" x14ac:dyDescent="0.35">
      <c r="B1" s="1"/>
    </row>
    <row r="10" spans="2:5" x14ac:dyDescent="0.35">
      <c r="E10" s="9" t="s">
        <v>79</v>
      </c>
    </row>
    <row r="12" spans="2:5" x14ac:dyDescent="0.35">
      <c r="E12" s="9" t="s">
        <v>80</v>
      </c>
    </row>
  </sheetData>
  <hyperlinks>
    <hyperlink ref="E10" location="Purchase!A1" display="Purchase Entry" xr:uid="{3DB73910-0E88-488E-90EF-3155816FA968}"/>
    <hyperlink ref="E12" location="Sales!A1" display="Sales Entry" xr:uid="{543BE5C8-3027-4E53-BE95-CCD12A77BDF9}"/>
  </hyperlink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04750-352C-4FF0-82C6-652CF60181C7}">
  <dimension ref="B1:J29"/>
  <sheetViews>
    <sheetView zoomScale="70" zoomScaleNormal="70" workbookViewId="0">
      <pane xSplit="3" ySplit="9" topLeftCell="D10" activePane="bottomRight" state="frozen"/>
      <selection pane="topRight" activeCell="D1" sqref="D1"/>
      <selection pane="bottomLeft" activeCell="A10" sqref="A10"/>
      <selection pane="bottomRight" activeCell="D9" sqref="D9:J29"/>
    </sheetView>
  </sheetViews>
  <sheetFormatPr defaultRowHeight="14.5" x14ac:dyDescent="0.35"/>
  <cols>
    <col min="1" max="1" width="3.1796875" style="1" customWidth="1"/>
    <col min="2" max="2" width="21.90625" style="2" customWidth="1"/>
    <col min="3" max="3" width="5.6328125" style="1" customWidth="1"/>
    <col min="4" max="4" width="13.26953125" style="1" customWidth="1"/>
    <col min="5" max="5" width="17.08984375" style="1" customWidth="1"/>
    <col min="6" max="6" width="14.7265625" style="1" customWidth="1"/>
    <col min="7" max="7" width="12.36328125" style="1" customWidth="1"/>
    <col min="8" max="8" width="9.7265625" style="1" customWidth="1"/>
    <col min="9" max="9" width="12.6328125" style="1" customWidth="1"/>
    <col min="10" max="10" width="9.36328125" style="1" customWidth="1"/>
    <col min="11" max="16384" width="8.7265625" style="1"/>
  </cols>
  <sheetData>
    <row r="1" spans="2:10" x14ac:dyDescent="0.35">
      <c r="B1" s="1"/>
    </row>
    <row r="9" spans="2:10" x14ac:dyDescent="0.35">
      <c r="D9" s="1" t="s">
        <v>81</v>
      </c>
      <c r="E9" s="1" t="s">
        <v>82</v>
      </c>
      <c r="F9" s="1" t="s">
        <v>83</v>
      </c>
      <c r="G9" s="1" t="s">
        <v>84</v>
      </c>
      <c r="H9" s="1" t="s">
        <v>85</v>
      </c>
      <c r="I9" s="1" t="s">
        <v>86</v>
      </c>
      <c r="J9" s="1" t="s">
        <v>87</v>
      </c>
    </row>
    <row r="10" spans="2:10" x14ac:dyDescent="0.35">
      <c r="D10" s="1" t="s">
        <v>32</v>
      </c>
      <c r="E10" s="1" t="str">
        <f>IFERROR(VLOOKUP(Table4[[#This Row],[HSN Code ]],Products_data[#All],2,0),"")</f>
        <v xml:space="preserve">Desktop </v>
      </c>
      <c r="F10" s="1" t="str">
        <f>IFERROR(VLOOKUP(Table4[[#This Row],[HSN Code ]],Table3[#All],3,0),"")</f>
        <v>GG Traders</v>
      </c>
      <c r="G10" s="10">
        <v>46218</v>
      </c>
      <c r="H10" s="1">
        <v>10</v>
      </c>
      <c r="I10" s="1">
        <f>IFERROR(VLOOKUP(Table4[[#This Row],[HSN Code ]],Products_data[#All],3,0)," ")</f>
        <v>21000</v>
      </c>
      <c r="J10" s="1">
        <f>IFERROR(Table4[[#This Row],[Cost]]*Table4[[#This Row],[Units]],"")</f>
        <v>210000</v>
      </c>
    </row>
    <row r="11" spans="2:10" x14ac:dyDescent="0.35">
      <c r="D11" s="1" t="s">
        <v>31</v>
      </c>
      <c r="E11" s="1" t="str">
        <f>IFERROR(VLOOKUP(Table4[[#This Row],[HSN Code ]],Products_data[#All],2,0),"")</f>
        <v>Wireless Printer</v>
      </c>
      <c r="F11" s="1" t="str">
        <f>IFERROR(VLOOKUP(Table4[[#This Row],[HSN Code ]],Table3[#All],3,0),"")</f>
        <v>Tech99</v>
      </c>
      <c r="G11" s="10">
        <v>46218</v>
      </c>
      <c r="H11" s="1">
        <v>10</v>
      </c>
      <c r="I11" s="1">
        <f>IFERROR(VLOOKUP(Table4[[#This Row],[HSN Code ]],Products_data[#All],3,0)," ")</f>
        <v>4600</v>
      </c>
      <c r="J11" s="1">
        <f>IFERROR(Table4[[#This Row],[Cost]]*Table4[[#This Row],[Units]],"")</f>
        <v>46000</v>
      </c>
    </row>
    <row r="12" spans="2:10" x14ac:dyDescent="0.35">
      <c r="D12" s="1" t="s">
        <v>32</v>
      </c>
      <c r="E12" s="1" t="str">
        <f>IFERROR(VLOOKUP(Table4[[#This Row],[HSN Code ]],Products_data[#All],2,0),"")</f>
        <v xml:space="preserve">Desktop </v>
      </c>
      <c r="F12" s="1" t="str">
        <f>IFERROR(VLOOKUP(Table4[[#This Row],[HSN Code ]],Table3[#All],3,0),"")</f>
        <v>GG Traders</v>
      </c>
      <c r="G12" s="10">
        <v>46218</v>
      </c>
      <c r="H12" s="1">
        <v>50</v>
      </c>
      <c r="I12" s="1">
        <f>IFERROR(VLOOKUP(Table4[[#This Row],[HSN Code ]],Products_data[#All],3,0)," ")</f>
        <v>21000</v>
      </c>
      <c r="J12" s="1">
        <f>IFERROR(Table4[[#This Row],[Cost]]*Table4[[#This Row],[Units]],"")</f>
        <v>1050000</v>
      </c>
    </row>
    <row r="13" spans="2:10" x14ac:dyDescent="0.35">
      <c r="D13" s="1" t="s">
        <v>35</v>
      </c>
      <c r="E13" s="1" t="str">
        <f>IFERROR(VLOOKUP(Table4[[#This Row],[HSN Code ]],Products_data[#All],2,0),"")</f>
        <v>Camera</v>
      </c>
      <c r="F13" s="1" t="str">
        <f>IFERROR(VLOOKUP(Table4[[#This Row],[HSN Code ]],Table3[#All],3,0),"")</f>
        <v>GG Traders</v>
      </c>
      <c r="G13" s="10">
        <v>46219</v>
      </c>
      <c r="H13" s="1">
        <v>5</v>
      </c>
      <c r="I13" s="1">
        <f>IFERROR(VLOOKUP(Table4[[#This Row],[HSN Code ]],Products_data[#All],3,0)," ")</f>
        <v>52000</v>
      </c>
      <c r="J13" s="1">
        <f>IFERROR(Table4[[#This Row],[Cost]]*Table4[[#This Row],[Units]],"")</f>
        <v>260000</v>
      </c>
    </row>
    <row r="14" spans="2:10" x14ac:dyDescent="0.35">
      <c r="D14" s="1" t="s">
        <v>33</v>
      </c>
      <c r="E14" s="1" t="str">
        <f>IFERROR(VLOOKUP(Table4[[#This Row],[HSN Code ]],Products_data[#All],2,0),"")</f>
        <v>Mouse</v>
      </c>
      <c r="F14" s="1" t="str">
        <f>IFERROR(VLOOKUP(Table4[[#This Row],[HSN Code ]],Table3[#All],3,0),"")</f>
        <v>GG Traders</v>
      </c>
      <c r="G14" s="10">
        <v>46220</v>
      </c>
      <c r="H14" s="1">
        <v>4</v>
      </c>
      <c r="I14" s="1">
        <f>IFERROR(VLOOKUP(Table4[[#This Row],[HSN Code ]],Products_data[#All],3,0)," ")</f>
        <v>200</v>
      </c>
      <c r="J14" s="1">
        <f>IFERROR(Table4[[#This Row],[Cost]]*Table4[[#This Row],[Units]],"")</f>
        <v>800</v>
      </c>
    </row>
    <row r="15" spans="2:10" x14ac:dyDescent="0.35">
      <c r="D15" s="1" t="s">
        <v>33</v>
      </c>
      <c r="E15" s="1" t="str">
        <f>IFERROR(VLOOKUP(Table4[[#This Row],[HSN Code ]],Products_data[#All],2,0),"")</f>
        <v>Mouse</v>
      </c>
      <c r="F15" s="1" t="str">
        <f>IFERROR(VLOOKUP(Table4[[#This Row],[HSN Code ]],Table3[#All],3,0),"")</f>
        <v>GG Traders</v>
      </c>
      <c r="G15" s="10">
        <v>46221</v>
      </c>
      <c r="H15" s="1">
        <v>8</v>
      </c>
      <c r="I15" s="1">
        <f>IFERROR(VLOOKUP(Table4[[#This Row],[HSN Code ]],Products_data[#All],3,0)," ")</f>
        <v>200</v>
      </c>
      <c r="J15" s="1">
        <f>IFERROR(Table4[[#This Row],[Cost]]*Table4[[#This Row],[Units]],"")</f>
        <v>1600</v>
      </c>
    </row>
    <row r="16" spans="2:10" x14ac:dyDescent="0.35">
      <c r="D16" s="1" t="s">
        <v>34</v>
      </c>
      <c r="E16" s="1" t="str">
        <f>IFERROR(VLOOKUP(Table4[[#This Row],[HSN Code ]],Products_data[#All],2,0),"")</f>
        <v>RGB Keyboard</v>
      </c>
      <c r="F16" s="1" t="str">
        <f>IFERROR(VLOOKUP(Table4[[#This Row],[HSN Code ]],Table3[#All],3,0),"")</f>
        <v>GG Traders</v>
      </c>
      <c r="G16" s="10">
        <v>46222</v>
      </c>
      <c r="H16" s="1">
        <v>4</v>
      </c>
      <c r="I16" s="1">
        <f>IFERROR(VLOOKUP(Table4[[#This Row],[HSN Code ]],Products_data[#All],3,0)," ")</f>
        <v>340</v>
      </c>
      <c r="J16" s="1">
        <f>IFERROR(Table4[[#This Row],[Cost]]*Table4[[#This Row],[Units]],"")</f>
        <v>1360</v>
      </c>
    </row>
    <row r="17" spans="4:10" x14ac:dyDescent="0.35">
      <c r="D17" s="1" t="s">
        <v>89</v>
      </c>
      <c r="E17" s="1" t="str">
        <f>IFERROR(VLOOKUP(Table4[[#This Row],[HSN Code ]],Products_data[#All],2,0),"")</f>
        <v>CYCLE</v>
      </c>
      <c r="F17" s="1" t="str">
        <f>IFERROR(VLOOKUP(Table4[[#This Row],[HSN Code ]],Table3[#All],3,0),"")</f>
        <v>Bhavesh Ltd</v>
      </c>
      <c r="G17" s="10">
        <v>46223</v>
      </c>
      <c r="H17" s="1">
        <v>3</v>
      </c>
      <c r="I17" s="1">
        <f>IFERROR(VLOOKUP(Table4[[#This Row],[HSN Code ]],Products_data[#All],3,0)," ")</f>
        <v>5656</v>
      </c>
      <c r="J17" s="1">
        <f>IFERROR(Table4[[#This Row],[Cost]]*Table4[[#This Row],[Units]],"")</f>
        <v>16968</v>
      </c>
    </row>
    <row r="18" spans="4:10" x14ac:dyDescent="0.35">
      <c r="D18" s="1" t="s">
        <v>33</v>
      </c>
      <c r="E18" s="1" t="str">
        <f>IFERROR(VLOOKUP(Table4[[#This Row],[HSN Code ]],Products_data[#All],2,0),"")</f>
        <v>Mouse</v>
      </c>
      <c r="F18" s="1" t="str">
        <f>IFERROR(VLOOKUP(Table4[[#This Row],[HSN Code ]],Table3[#All],3,0),"")</f>
        <v>GG Traders</v>
      </c>
      <c r="G18" s="10">
        <v>46224</v>
      </c>
      <c r="H18" s="1">
        <v>8</v>
      </c>
      <c r="I18" s="1">
        <f>IFERROR(VLOOKUP(Table4[[#This Row],[HSN Code ]],Products_data[#All],3,0)," ")</f>
        <v>200</v>
      </c>
      <c r="J18" s="1">
        <f>IFERROR(Table4[[#This Row],[Cost]]*Table4[[#This Row],[Units]],"")</f>
        <v>1600</v>
      </c>
    </row>
    <row r="19" spans="4:10" x14ac:dyDescent="0.35">
      <c r="D19" s="1" t="s">
        <v>31</v>
      </c>
      <c r="E19" s="1" t="str">
        <f>IFERROR(VLOOKUP(Table4[[#This Row],[HSN Code ]],Products_data[#All],2,0),"")</f>
        <v>Wireless Printer</v>
      </c>
      <c r="F19" s="1" t="str">
        <f>IFERROR(VLOOKUP(Table4[[#This Row],[HSN Code ]],Table3[#All],3,0),"")</f>
        <v>Tech99</v>
      </c>
      <c r="G19" s="10">
        <v>46225</v>
      </c>
      <c r="H19" s="1">
        <v>2</v>
      </c>
      <c r="I19" s="1">
        <f>IFERROR(VLOOKUP(Table4[[#This Row],[HSN Code ]],Products_data[#All],3,0)," ")</f>
        <v>4600</v>
      </c>
      <c r="J19" s="1">
        <f>IFERROR(Table4[[#This Row],[Cost]]*Table4[[#This Row],[Units]],"")</f>
        <v>9200</v>
      </c>
    </row>
    <row r="20" spans="4:10" x14ac:dyDescent="0.35">
      <c r="D20" s="1" t="s">
        <v>35</v>
      </c>
      <c r="E20" s="1" t="str">
        <f>IFERROR(VLOOKUP(Table4[[#This Row],[HSN Code ]],Products_data[#All],2,0),"")</f>
        <v>Camera</v>
      </c>
      <c r="F20" s="1" t="str">
        <f>IFERROR(VLOOKUP(Table4[[#This Row],[HSN Code ]],Table3[#All],3,0),"")</f>
        <v>GG Traders</v>
      </c>
      <c r="G20" s="10">
        <v>46226</v>
      </c>
      <c r="H20" s="1">
        <v>10</v>
      </c>
      <c r="I20" s="1">
        <f>IFERROR(VLOOKUP(Table4[[#This Row],[HSN Code ]],Products_data[#All],3,0)," ")</f>
        <v>52000</v>
      </c>
      <c r="J20" s="1">
        <f>IFERROR(Table4[[#This Row],[Cost]]*Table4[[#This Row],[Units]],"")</f>
        <v>520000</v>
      </c>
    </row>
    <row r="21" spans="4:10" x14ac:dyDescent="0.35">
      <c r="D21" s="1" t="s">
        <v>89</v>
      </c>
      <c r="E21" s="1" t="str">
        <f>IFERROR(VLOOKUP(Table4[[#This Row],[HSN Code ]],Products_data[#All],2,0),"")</f>
        <v>CYCLE</v>
      </c>
      <c r="F21" s="1" t="str">
        <f>IFERROR(VLOOKUP(Table4[[#This Row],[HSN Code ]],Table3[#All],3,0),"")</f>
        <v>Bhavesh Ltd</v>
      </c>
      <c r="G21" s="10">
        <v>46227</v>
      </c>
      <c r="H21" s="1">
        <v>1</v>
      </c>
      <c r="I21" s="1">
        <f>IFERROR(VLOOKUP(Table4[[#This Row],[HSN Code ]],Products_data[#All],3,0)," ")</f>
        <v>5656</v>
      </c>
      <c r="J21" s="1">
        <f>IFERROR(Table4[[#This Row],[Cost]]*Table4[[#This Row],[Units]],"")</f>
        <v>5656</v>
      </c>
    </row>
    <row r="22" spans="4:10" x14ac:dyDescent="0.35">
      <c r="D22" s="1" t="s">
        <v>41</v>
      </c>
      <c r="E22" s="12" t="str">
        <f>IFERROR(VLOOKUP(Table4[[#This Row],[HSN Code ]],Products_data[#All],2,0),"")</f>
        <v>T V</v>
      </c>
      <c r="F22" s="12" t="str">
        <f>IFERROR(VLOOKUP(Table4[[#This Row],[HSN Code ]],Table3[#All],3,0),"")</f>
        <v>Bhavesh Ltd</v>
      </c>
      <c r="G22" s="10">
        <v>46219</v>
      </c>
      <c r="H22" s="1">
        <v>5</v>
      </c>
      <c r="I22" s="12">
        <f>IFERROR(VLOOKUP(Table4[[#This Row],[HSN Code ]],Products_data[#All],3,0)," ")</f>
        <v>15000</v>
      </c>
      <c r="J22" s="12">
        <f>IFERROR(Table4[[#This Row],[Cost]]*Table4[[#This Row],[Units]],"")</f>
        <v>75000</v>
      </c>
    </row>
    <row r="23" spans="4:10" x14ac:dyDescent="0.35">
      <c r="D23" s="1" t="s">
        <v>29</v>
      </c>
      <c r="E23" s="12" t="str">
        <f>IFERROR(VLOOKUP(Table4[[#This Row],[HSN Code ]],Products_data[#All],2,0),"")</f>
        <v>Smart Watch</v>
      </c>
      <c r="F23" s="12" t="str">
        <f>IFERROR(VLOOKUP(Table4[[#This Row],[HSN Code ]],Table3[#All],3,0),"")</f>
        <v>Tech99</v>
      </c>
      <c r="G23" s="10">
        <v>46220</v>
      </c>
      <c r="H23" s="1">
        <v>50</v>
      </c>
      <c r="I23" s="12">
        <f>IFERROR(VLOOKUP(Table4[[#This Row],[HSN Code ]],Products_data[#All],3,0)," ")</f>
        <v>980</v>
      </c>
      <c r="J23" s="12">
        <f>IFERROR(Table4[[#This Row],[Cost]]*Table4[[#This Row],[Units]],"")</f>
        <v>49000</v>
      </c>
    </row>
    <row r="24" spans="4:10" x14ac:dyDescent="0.35">
      <c r="D24" s="1" t="s">
        <v>40</v>
      </c>
      <c r="E24" s="12" t="str">
        <f>IFERROR(VLOOKUP(Table4[[#This Row],[HSN Code ]],Products_data[#All],2,0),"")</f>
        <v xml:space="preserve">Fridge </v>
      </c>
      <c r="F24" s="12" t="str">
        <f>IFERROR(VLOOKUP(Table4[[#This Row],[HSN Code ]],Table3[#All],3,0),"")</f>
        <v>Bhavesh Ltd</v>
      </c>
      <c r="G24" s="10">
        <v>46219</v>
      </c>
      <c r="H24" s="1">
        <v>40</v>
      </c>
      <c r="I24" s="12">
        <f>IFERROR(VLOOKUP(Table4[[#This Row],[HSN Code ]],Products_data[#All],3,0)," ")</f>
        <v>25000</v>
      </c>
      <c r="J24" s="12">
        <f>IFERROR(Table4[[#This Row],[Cost]]*Table4[[#This Row],[Units]],"")</f>
        <v>1000000</v>
      </c>
    </row>
    <row r="25" spans="4:10" x14ac:dyDescent="0.35">
      <c r="D25" s="1" t="s">
        <v>36</v>
      </c>
      <c r="E25" s="12" t="str">
        <f>IFERROR(VLOOKUP(Table4[[#This Row],[HSN Code ]],Products_data[#All],2,0),"")</f>
        <v>Headphone</v>
      </c>
      <c r="F25" s="12" t="str">
        <f>IFERROR(VLOOKUP(Table4[[#This Row],[HSN Code ]],Table3[#All],3,0),"")</f>
        <v>Compac</v>
      </c>
      <c r="G25" s="10">
        <v>46219</v>
      </c>
      <c r="H25" s="1">
        <v>30</v>
      </c>
      <c r="I25" s="12">
        <f>IFERROR(VLOOKUP(Table4[[#This Row],[HSN Code ]],Products_data[#All],3,0)," ")</f>
        <v>799</v>
      </c>
      <c r="J25" s="12">
        <f>IFERROR(Table4[[#This Row],[Cost]]*Table4[[#This Row],[Units]],"")</f>
        <v>23970</v>
      </c>
    </row>
    <row r="26" spans="4:10" x14ac:dyDescent="0.35">
      <c r="D26" s="1" t="s">
        <v>34</v>
      </c>
      <c r="E26" s="12" t="str">
        <f>IFERROR(VLOOKUP(Table4[[#This Row],[HSN Code ]],Products_data[#All],2,0),"")</f>
        <v>RGB Keyboard</v>
      </c>
      <c r="F26" s="12" t="str">
        <f>IFERROR(VLOOKUP(Table4[[#This Row],[HSN Code ]],Table3[#All],3,0),"")</f>
        <v>GG Traders</v>
      </c>
      <c r="G26" s="10">
        <v>46219</v>
      </c>
      <c r="H26" s="1">
        <v>8</v>
      </c>
      <c r="I26" s="12">
        <f>IFERROR(VLOOKUP(Table4[[#This Row],[HSN Code ]],Products_data[#All],3,0)," ")</f>
        <v>340</v>
      </c>
      <c r="J26" s="12">
        <f>IFERROR(Table4[[#This Row],[Cost]]*Table4[[#This Row],[Units]],"")</f>
        <v>2720</v>
      </c>
    </row>
    <row r="27" spans="4:10" x14ac:dyDescent="0.35">
      <c r="D27" s="1" t="s">
        <v>39</v>
      </c>
      <c r="E27" s="12" t="str">
        <f>IFERROR(VLOOKUP(Table4[[#This Row],[HSN Code ]],Products_data[#All],2,0),"")</f>
        <v>A C</v>
      </c>
      <c r="F27" s="12" t="str">
        <f>IFERROR(VLOOKUP(Table4[[#This Row],[HSN Code ]],Table3[#All],3,0),"")</f>
        <v>Bhavesh Ltd</v>
      </c>
      <c r="G27" s="10">
        <v>46219</v>
      </c>
      <c r="H27" s="1">
        <v>10</v>
      </c>
      <c r="I27" s="12">
        <f>IFERROR(VLOOKUP(Table4[[#This Row],[HSN Code ]],Products_data[#All],3,0)," ")</f>
        <v>40000</v>
      </c>
      <c r="J27" s="12">
        <f>IFERROR(Table4[[#This Row],[Cost]]*Table4[[#This Row],[Units]],"")</f>
        <v>400000</v>
      </c>
    </row>
    <row r="28" spans="4:10" x14ac:dyDescent="0.35">
      <c r="D28" s="1" t="s">
        <v>88</v>
      </c>
      <c r="E28" s="12" t="str">
        <f>IFERROR(VLOOKUP(Table4[[#This Row],[HSN Code ]],Products_data[#All],2,0),"")</f>
        <v>Bike</v>
      </c>
      <c r="F28" s="12" t="str">
        <f>IFERROR(VLOOKUP(Table4[[#This Row],[HSN Code ]],Table3[#All],3,0),"")</f>
        <v>Bhavesh Ltd</v>
      </c>
      <c r="G28" s="10">
        <v>46219</v>
      </c>
      <c r="H28" s="1">
        <v>50</v>
      </c>
      <c r="I28" s="12">
        <f>IFERROR(VLOOKUP(Table4[[#This Row],[HSN Code ]],Products_data[#All],3,0)," ")</f>
        <v>78000</v>
      </c>
      <c r="J28" s="12">
        <f>IFERROR(Table4[[#This Row],[Cost]]*Table4[[#This Row],[Units]],"")</f>
        <v>3900000</v>
      </c>
    </row>
    <row r="29" spans="4:10" x14ac:dyDescent="0.35">
      <c r="E29" s="12" t="str">
        <f>IFERROR(VLOOKUP(Table4[[#This Row],[HSN Code ]],Products_data[#All],2,0),"")</f>
        <v/>
      </c>
      <c r="F29" s="12" t="str">
        <f>IFERROR(VLOOKUP(Table4[[#This Row],[HSN Code ]],Table3[#All],3,0),"")</f>
        <v/>
      </c>
      <c r="G29" s="10"/>
      <c r="I29" s="12" t="str">
        <f>IFERROR(VLOOKUP(Table4[[#This Row],[HSN Code ]],Products_data[#All],3,0)," ")</f>
        <v xml:space="preserve"> </v>
      </c>
      <c r="J29" s="12" t="str">
        <f>IFERROR(Table4[[#This Row],[Cost]]*Table4[[#This Row],[Units]],"")</f>
        <v/>
      </c>
    </row>
  </sheetData>
  <dataValidations count="1">
    <dataValidation type="list" allowBlank="1" showInputMessage="1" showErrorMessage="1" sqref="D10:D29" xr:uid="{619E0F04-735A-45E1-9B26-8D5B7F0832C4}">
      <formula1>hsncode1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45085-8806-46D5-8AE3-EA28864DC895}">
  <dimension ref="B1:L22"/>
  <sheetViews>
    <sheetView zoomScale="70" zoomScaleNormal="70" workbookViewId="0">
      <pane xSplit="3" ySplit="8" topLeftCell="D9" activePane="bottomRight" state="frozen"/>
      <selection pane="topRight" activeCell="D1" sqref="D1"/>
      <selection pane="bottomLeft" activeCell="A9" sqref="A9"/>
      <selection pane="bottomRight" activeCell="D8" sqref="D8:L22"/>
    </sheetView>
  </sheetViews>
  <sheetFormatPr defaultRowHeight="14.5" x14ac:dyDescent="0.35"/>
  <cols>
    <col min="1" max="1" width="3.1796875" style="1" customWidth="1"/>
    <col min="2" max="2" width="21.90625" style="2" customWidth="1"/>
    <col min="3" max="3" width="5.36328125" style="1" customWidth="1"/>
    <col min="4" max="4" width="10.08984375" style="1" customWidth="1"/>
    <col min="5" max="5" width="16.81640625" style="1" customWidth="1"/>
    <col min="6" max="6" width="11.90625" style="1" customWidth="1"/>
    <col min="7" max="7" width="17.453125" style="1" customWidth="1"/>
    <col min="8" max="8" width="11.54296875" style="1" customWidth="1"/>
    <col min="9" max="9" width="13" style="1" customWidth="1"/>
    <col min="10" max="10" width="7.81640625" style="1" customWidth="1"/>
    <col min="11" max="11" width="7.90625" style="1" customWidth="1"/>
    <col min="12" max="12" width="9.6328125" style="1" customWidth="1"/>
    <col min="13" max="16384" width="8.7265625" style="1"/>
  </cols>
  <sheetData>
    <row r="1" spans="2:12" x14ac:dyDescent="0.35">
      <c r="B1" s="1"/>
    </row>
    <row r="8" spans="2:12" x14ac:dyDescent="0.35">
      <c r="D8" s="1" t="s">
        <v>91</v>
      </c>
      <c r="E8" s="1" t="s">
        <v>92</v>
      </c>
      <c r="F8" s="1" t="s">
        <v>93</v>
      </c>
      <c r="G8" s="1" t="s">
        <v>82</v>
      </c>
      <c r="H8" s="1" t="s">
        <v>84</v>
      </c>
      <c r="I8" s="1" t="s">
        <v>94</v>
      </c>
      <c r="J8" s="1" t="s">
        <v>85</v>
      </c>
      <c r="K8" s="1" t="s">
        <v>95</v>
      </c>
      <c r="L8" s="1" t="s">
        <v>87</v>
      </c>
    </row>
    <row r="9" spans="2:12" x14ac:dyDescent="0.35">
      <c r="D9" s="8">
        <v>101</v>
      </c>
      <c r="E9" s="1" t="str">
        <f>IFERROR(VLOOKUP(Table5[[#This Row],[Cust_ID]],Table1[],2,0),"")</f>
        <v>Atul Ltd.</v>
      </c>
      <c r="F9" s="1" t="s">
        <v>29</v>
      </c>
      <c r="G9" s="1" t="str">
        <f>IFERROR(VLOOKUP(Table5[[#This Row],[HSN Code]],Products_data[#All],2,0),"")</f>
        <v>Smart Watch</v>
      </c>
      <c r="H9" s="10">
        <v>46219</v>
      </c>
      <c r="I9" s="1">
        <f>IFERROR(VLOOKUP(Table5[[#This Row],[HSN Code]],Table6[#All],6,0),"")</f>
        <v>40</v>
      </c>
      <c r="J9" s="1">
        <v>10</v>
      </c>
      <c r="K9" s="1">
        <f>IFERROR(VLOOKUP(Table5[[#This Row],[HSN Code]],Products_data[#All],4,0),"")</f>
        <v>1176</v>
      </c>
      <c r="L9" s="1">
        <f>IFERROR(Table5[[#This Row],[Price]]*Table5[[#This Row],[Units]],"")</f>
        <v>11760</v>
      </c>
    </row>
    <row r="10" spans="2:12" x14ac:dyDescent="0.35">
      <c r="D10" s="8">
        <v>100</v>
      </c>
      <c r="E10" s="1" t="str">
        <f>IFERROR(VLOOKUP(Table5[[#This Row],[Cust_ID]],Table1[],2,0),"")</f>
        <v>Ram Sales</v>
      </c>
      <c r="F10" s="1" t="s">
        <v>31</v>
      </c>
      <c r="G10" s="1" t="str">
        <f>IFERROR(VLOOKUP(Table5[[#This Row],[HSN Code]],Products_data[#All],2,0),"")</f>
        <v>Wireless Printer</v>
      </c>
      <c r="H10" s="10">
        <v>46220</v>
      </c>
      <c r="I10" s="1">
        <f>IFERROR(VLOOKUP(Table5[[#This Row],[HSN Code]],Table6[#All],6,0),"")</f>
        <v>3</v>
      </c>
      <c r="J10" s="1">
        <v>5</v>
      </c>
      <c r="K10" s="1">
        <f>IFERROR(VLOOKUP(Table5[[#This Row],[HSN Code]],Products_data[#All],4,0),"")</f>
        <v>5520</v>
      </c>
      <c r="L10" s="1">
        <f>IFERROR(Table5[[#This Row],[Price]]*Table5[[#This Row],[Units]],"")</f>
        <v>27600</v>
      </c>
    </row>
    <row r="11" spans="2:12" x14ac:dyDescent="0.35">
      <c r="D11" s="8">
        <v>102</v>
      </c>
      <c r="E11" s="1" t="str">
        <f>IFERROR(VLOOKUP(Table5[[#This Row],[Cust_ID]],Table1[],2,0),"")</f>
        <v>MK Tech</v>
      </c>
      <c r="F11" s="1" t="s">
        <v>32</v>
      </c>
      <c r="G11" s="1" t="str">
        <f>IFERROR(VLOOKUP(Table5[[#This Row],[HSN Code]],Products_data[#All],2,0),"")</f>
        <v xml:space="preserve">Desktop </v>
      </c>
      <c r="H11" s="10">
        <v>46221</v>
      </c>
      <c r="I11" s="1">
        <f>IFERROR(VLOOKUP(Table5[[#This Row],[HSN Code]],Table6[#All],6,0),"")</f>
        <v>54</v>
      </c>
      <c r="J11" s="1">
        <v>4</v>
      </c>
      <c r="K11" s="1">
        <f>IFERROR(VLOOKUP(Table5[[#This Row],[HSN Code]],Products_data[#All],4,0),"")</f>
        <v>25200</v>
      </c>
      <c r="L11" s="1">
        <f>IFERROR(Table5[[#This Row],[Price]]*Table5[[#This Row],[Units]],"")</f>
        <v>100800</v>
      </c>
    </row>
    <row r="12" spans="2:12" x14ac:dyDescent="0.35">
      <c r="D12" s="8">
        <v>103</v>
      </c>
      <c r="E12" s="1" t="str">
        <f>IFERROR(VLOOKUP(Table5[[#This Row],[Cust_ID]],Table1[],2,0),"")</f>
        <v>99Store</v>
      </c>
      <c r="F12" s="1" t="s">
        <v>34</v>
      </c>
      <c r="G12" s="1" t="str">
        <f>IFERROR(VLOOKUP(Table5[[#This Row],[HSN Code]],Products_data[#All],2,0),"")</f>
        <v>RGB Keyboard</v>
      </c>
      <c r="H12" s="10">
        <v>46222</v>
      </c>
      <c r="I12" s="1">
        <f>IFERROR(VLOOKUP(Table5[[#This Row],[HSN Code]],Table6[#All],6,0),"")</f>
        <v>5</v>
      </c>
      <c r="J12" s="1">
        <v>6</v>
      </c>
      <c r="K12" s="1">
        <f>IFERROR(VLOOKUP(Table5[[#This Row],[HSN Code]],Products_data[#All],4,0),"")</f>
        <v>408</v>
      </c>
      <c r="L12" s="1">
        <f>IFERROR(Table5[[#This Row],[Price]]*Table5[[#This Row],[Units]],"")</f>
        <v>2448</v>
      </c>
    </row>
    <row r="13" spans="2:12" x14ac:dyDescent="0.35">
      <c r="D13" s="8">
        <v>104</v>
      </c>
      <c r="E13" s="1" t="str">
        <f>IFERROR(VLOOKUP(Table5[[#This Row],[Cust_ID]],Table1[],2,0),"")</f>
        <v>Rajesh Kumar</v>
      </c>
      <c r="F13" s="1" t="s">
        <v>32</v>
      </c>
      <c r="G13" s="1" t="str">
        <f>IFERROR(VLOOKUP(Table5[[#This Row],[HSN Code]],Products_data[#All],2,0),"")</f>
        <v xml:space="preserve">Desktop </v>
      </c>
      <c r="H13" s="10">
        <v>46223</v>
      </c>
      <c r="I13" s="1">
        <f>IFERROR(VLOOKUP(Table5[[#This Row],[HSN Code]],Table6[#All],6,0),"")</f>
        <v>54</v>
      </c>
      <c r="J13" s="1">
        <v>2</v>
      </c>
      <c r="K13" s="1">
        <f>IFERROR(VLOOKUP(Table5[[#This Row],[HSN Code]],Products_data[#All],4,0),"")</f>
        <v>25200</v>
      </c>
      <c r="L13" s="1">
        <f>IFERROR(Table5[[#This Row],[Price]]*Table5[[#This Row],[Units]],"")</f>
        <v>50400</v>
      </c>
    </row>
    <row r="14" spans="2:12" x14ac:dyDescent="0.35">
      <c r="D14" s="8">
        <v>105</v>
      </c>
      <c r="E14" s="1" t="str">
        <f>IFERROR(VLOOKUP(Table5[[#This Row],[Cust_ID]],Table1[],2,0),"")</f>
        <v>Amit</v>
      </c>
      <c r="F14" s="1" t="s">
        <v>34</v>
      </c>
      <c r="G14" s="1" t="str">
        <f>IFERROR(VLOOKUP(Table5[[#This Row],[HSN Code]],Products_data[#All],2,0),"")</f>
        <v>RGB Keyboard</v>
      </c>
      <c r="H14" s="10">
        <v>46224</v>
      </c>
      <c r="I14" s="1">
        <f>IFERROR(VLOOKUP(Table5[[#This Row],[HSN Code]],Table6[#All],6,0),"")</f>
        <v>5</v>
      </c>
      <c r="J14" s="1">
        <v>1</v>
      </c>
      <c r="K14" s="1">
        <f>IFERROR(VLOOKUP(Table5[[#This Row],[HSN Code]],Products_data[#All],4,0),"")</f>
        <v>408</v>
      </c>
      <c r="L14" s="1">
        <f>IFERROR(Table5[[#This Row],[Price]]*Table5[[#This Row],[Units]],"")</f>
        <v>408</v>
      </c>
    </row>
    <row r="15" spans="2:12" x14ac:dyDescent="0.35">
      <c r="D15" s="8">
        <v>106</v>
      </c>
      <c r="E15" s="1" t="str">
        <f>IFERROR(VLOOKUP(Table5[[#This Row],[Cust_ID]],Table1[],2,0),"")</f>
        <v>Jain Tel.</v>
      </c>
      <c r="F15" s="1" t="s">
        <v>35</v>
      </c>
      <c r="G15" s="1" t="str">
        <f>IFERROR(VLOOKUP(Table5[[#This Row],[HSN Code]],Products_data[#All],2,0),"")</f>
        <v>Camera</v>
      </c>
      <c r="H15" s="10">
        <v>46225</v>
      </c>
      <c r="I15" s="1">
        <f>IFERROR(VLOOKUP(Table5[[#This Row],[HSN Code]],Table6[#All],6,0),"")</f>
        <v>7</v>
      </c>
      <c r="J15" s="1">
        <v>2</v>
      </c>
      <c r="K15" s="1">
        <f>IFERROR(VLOOKUP(Table5[[#This Row],[HSN Code]],Products_data[#All],4,0),"")</f>
        <v>62400</v>
      </c>
      <c r="L15" s="1">
        <f>IFERROR(Table5[[#This Row],[Price]]*Table5[[#This Row],[Units]],"")</f>
        <v>124800</v>
      </c>
    </row>
    <row r="16" spans="2:12" x14ac:dyDescent="0.35">
      <c r="D16" s="8">
        <v>107</v>
      </c>
      <c r="E16" s="1" t="str">
        <f>IFERROR(VLOOKUP(Table5[[#This Row],[Cust_ID]],Table1[],2,0),"")</f>
        <v>Chandan ERP</v>
      </c>
      <c r="F16" s="1" t="s">
        <v>31</v>
      </c>
      <c r="G16" s="1" t="str">
        <f>IFERROR(VLOOKUP(Table5[[#This Row],[HSN Code]],Products_data[#All],2,0),"")</f>
        <v>Wireless Printer</v>
      </c>
      <c r="H16" s="10">
        <v>46226</v>
      </c>
      <c r="I16" s="1">
        <f>IFERROR(VLOOKUP(Table5[[#This Row],[HSN Code]],Table6[#All],6,0),"")</f>
        <v>3</v>
      </c>
      <c r="J16" s="1">
        <v>4</v>
      </c>
      <c r="K16" s="1">
        <f>IFERROR(VLOOKUP(Table5[[#This Row],[HSN Code]],Products_data[#All],4,0),"")</f>
        <v>5520</v>
      </c>
      <c r="L16" s="1">
        <f>IFERROR(Table5[[#This Row],[Price]]*Table5[[#This Row],[Units]],"")</f>
        <v>22080</v>
      </c>
    </row>
    <row r="17" spans="4:12" x14ac:dyDescent="0.35">
      <c r="D17" s="8">
        <v>102</v>
      </c>
      <c r="E17" s="1" t="str">
        <f>IFERROR(VLOOKUP(Table5[[#This Row],[Cust_ID]],Table1[],2,0),"")</f>
        <v>MK Tech</v>
      </c>
      <c r="F17" s="1" t="s">
        <v>35</v>
      </c>
      <c r="G17" s="1" t="str">
        <f>IFERROR(VLOOKUP(Table5[[#This Row],[HSN Code]],Products_data[#All],2,0),"")</f>
        <v>Camera</v>
      </c>
      <c r="H17" s="10">
        <v>46227</v>
      </c>
      <c r="I17" s="1">
        <f>IFERROR(VLOOKUP(Table5[[#This Row],[HSN Code]],Table6[#All],6,0),"")</f>
        <v>7</v>
      </c>
      <c r="J17" s="1">
        <v>6</v>
      </c>
      <c r="K17" s="1">
        <f>IFERROR(VLOOKUP(Table5[[#This Row],[HSN Code]],Products_data[#All],4,0),"")</f>
        <v>62400</v>
      </c>
      <c r="L17" s="1">
        <f>IFERROR(Table5[[#This Row],[Price]]*Table5[[#This Row],[Units]],"")</f>
        <v>374400</v>
      </c>
    </row>
    <row r="18" spans="4:12" x14ac:dyDescent="0.35">
      <c r="D18" s="8">
        <v>105</v>
      </c>
      <c r="E18" s="1" t="str">
        <f>IFERROR(VLOOKUP(Table5[[#This Row],[Cust_ID]],Table1[],2,0),"")</f>
        <v>Amit</v>
      </c>
      <c r="F18" s="1" t="s">
        <v>39</v>
      </c>
      <c r="G18" s="1" t="str">
        <f>IFERROR(VLOOKUP(Table5[[#This Row],[HSN Code]],Products_data[#All],2,0),"")</f>
        <v>A C</v>
      </c>
      <c r="H18" s="10">
        <v>46228</v>
      </c>
      <c r="I18" s="1">
        <f>IFERROR(VLOOKUP(Table5[[#This Row],[HSN Code]],Table6[#All],6,0),"")</f>
        <v>8</v>
      </c>
      <c r="J18" s="1">
        <v>2</v>
      </c>
      <c r="K18" s="1">
        <f>IFERROR(VLOOKUP(Table5[[#This Row],[HSN Code]],Products_data[#All],4,0),"")</f>
        <v>42000</v>
      </c>
      <c r="L18" s="1">
        <f>IFERROR(Table5[[#This Row],[Price]]*Table5[[#This Row],[Units]],"")</f>
        <v>84000</v>
      </c>
    </row>
    <row r="19" spans="4:12" x14ac:dyDescent="0.35">
      <c r="D19" s="8">
        <v>102</v>
      </c>
      <c r="E19" s="1" t="str">
        <f>IFERROR(VLOOKUP(Table5[[#This Row],[Cust_ID]],Table1[],2,0),"")</f>
        <v>MK Tech</v>
      </c>
      <c r="F19" s="1" t="s">
        <v>36</v>
      </c>
      <c r="G19" s="1" t="str">
        <f>IFERROR(VLOOKUP(Table5[[#This Row],[HSN Code]],Products_data[#All],2,0),"")</f>
        <v>Headphone</v>
      </c>
      <c r="H19" s="10">
        <v>46229</v>
      </c>
      <c r="I19" s="1">
        <f>IFERROR(VLOOKUP(Table5[[#This Row],[HSN Code]],Table6[#All],6,0),"")</f>
        <v>25</v>
      </c>
      <c r="J19" s="1">
        <v>5</v>
      </c>
      <c r="K19" s="1">
        <f>IFERROR(VLOOKUP(Table5[[#This Row],[HSN Code]],Products_data[#All],4,0),"")</f>
        <v>958.8</v>
      </c>
      <c r="L19" s="1">
        <f>IFERROR(Table5[[#This Row],[Price]]*Table5[[#This Row],[Units]],"")</f>
        <v>4794</v>
      </c>
    </row>
    <row r="20" spans="4:12" x14ac:dyDescent="0.35">
      <c r="D20" s="8">
        <v>100</v>
      </c>
      <c r="E20" s="1" t="str">
        <f>IFERROR(VLOOKUP(Table5[[#This Row],[Cust_ID]],Table1[],2,0),"")</f>
        <v>Ram Sales</v>
      </c>
      <c r="F20" s="1" t="s">
        <v>40</v>
      </c>
      <c r="G20" s="1" t="str">
        <f>IFERROR(VLOOKUP(Table5[[#This Row],[HSN Code]],Products_data[#All],2,0),"")</f>
        <v xml:space="preserve">Fridge </v>
      </c>
      <c r="H20" s="10">
        <v>46230</v>
      </c>
      <c r="I20" s="1">
        <f>IFERROR(VLOOKUP(Table5[[#This Row],[HSN Code]],Table6[#All],6,0),"")</f>
        <v>32</v>
      </c>
      <c r="J20" s="1">
        <v>8</v>
      </c>
      <c r="K20" s="1">
        <f>IFERROR(VLOOKUP(Table5[[#This Row],[HSN Code]],Products_data[#All],4,0),"")</f>
        <v>28000</v>
      </c>
      <c r="L20" s="1">
        <f>IFERROR(Table5[[#This Row],[Price]]*Table5[[#This Row],[Units]],"")</f>
        <v>224000</v>
      </c>
    </row>
    <row r="21" spans="4:12" x14ac:dyDescent="0.35">
      <c r="D21" s="8">
        <v>102</v>
      </c>
      <c r="E21" s="12" t="str">
        <f>IFERROR(VLOOKUP(Table5[[#This Row],[Cust_ID]],Table1[],2,0),"")</f>
        <v>MK Tech</v>
      </c>
      <c r="F21" s="1" t="s">
        <v>88</v>
      </c>
      <c r="G21" s="12" t="str">
        <f>IFERROR(VLOOKUP(Table5[[#This Row],[HSN Code]],Products_data[#All],2,0),"")</f>
        <v>Bike</v>
      </c>
      <c r="H21" s="10">
        <v>46231</v>
      </c>
      <c r="I21" s="12">
        <f>IFERROR(VLOOKUP(Table5[[#This Row],[HSN Code]],Table6[#All],6,0),"")</f>
        <v>30</v>
      </c>
      <c r="J21" s="1">
        <v>20</v>
      </c>
      <c r="K21" s="12">
        <f>IFERROR(VLOOKUP(Table5[[#This Row],[HSN Code]],Products_data[#All],4,0),"")</f>
        <v>80000</v>
      </c>
      <c r="L21" s="12">
        <f>IFERROR(Table5[[#This Row],[Price]]*Table5[[#This Row],[Units]],"")</f>
        <v>1600000</v>
      </c>
    </row>
    <row r="22" spans="4:12" x14ac:dyDescent="0.35">
      <c r="D22" s="8"/>
      <c r="E22" s="12" t="str">
        <f>IFERROR(VLOOKUP(Table5[[#This Row],[Cust_ID]],Table1[],2,0),"")</f>
        <v/>
      </c>
      <c r="G22" s="12" t="str">
        <f>IFERROR(VLOOKUP(Table5[[#This Row],[HSN Code]],Products_data[#All],2,0),"")</f>
        <v/>
      </c>
      <c r="I22" s="12" t="str">
        <f>IFERROR(VLOOKUP(Table5[[#This Row],[HSN Code]],Table6[#All],6,0),"")</f>
        <v/>
      </c>
      <c r="K22" s="12" t="str">
        <f>IFERROR(VLOOKUP(Table5[[#This Row],[HSN Code]],Products_data[#All],4,0),"")</f>
        <v/>
      </c>
      <c r="L22" s="12" t="str">
        <f>IFERROR(Table5[[#This Row],[Price]]*Table5[[#This Row],[Units]],"")</f>
        <v/>
      </c>
    </row>
  </sheetData>
  <dataValidations count="2">
    <dataValidation type="list" allowBlank="1" showInputMessage="1" showErrorMessage="1" sqref="D9:D22" xr:uid="{BA9A0182-ECF7-4589-A3D8-499166558F82}">
      <formula1>CUSTOMERID</formula1>
    </dataValidation>
    <dataValidation type="list" allowBlank="1" showInputMessage="1" showErrorMessage="1" sqref="F9:F22" xr:uid="{6DF83DA0-EEB8-4BBF-BDCA-682482F49AD4}">
      <formula1>HSNCODE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E986D-8F41-48B7-A6AB-B3C6BD88C068}">
  <dimension ref="B1:K30"/>
  <sheetViews>
    <sheetView tabSelected="1" zoomScale="70" zoomScaleNormal="70" workbookViewId="0">
      <pane xSplit="3" ySplit="8" topLeftCell="D9" activePane="bottomRight" state="frozen"/>
      <selection pane="topRight" activeCell="D1" sqref="D1"/>
      <selection pane="bottomLeft" activeCell="A9" sqref="A9"/>
      <selection pane="bottomRight" activeCell="N22" sqref="N22"/>
    </sheetView>
  </sheetViews>
  <sheetFormatPr defaultRowHeight="14.5" x14ac:dyDescent="0.35"/>
  <cols>
    <col min="1" max="1" width="3.1796875" style="1" customWidth="1"/>
    <col min="2" max="2" width="21.90625" style="2" customWidth="1"/>
    <col min="3" max="3" width="5.453125" style="1" customWidth="1"/>
    <col min="4" max="4" width="12.36328125" style="1" customWidth="1"/>
    <col min="5" max="5" width="16.81640625" style="1" customWidth="1"/>
    <col min="6" max="6" width="9.36328125" style="1" customWidth="1"/>
    <col min="7" max="7" width="10.26953125" style="1" customWidth="1"/>
    <col min="8" max="8" width="10.6328125" style="1" customWidth="1"/>
    <col min="9" max="9" width="11.08984375" style="1" customWidth="1"/>
    <col min="10" max="10" width="14" style="1" customWidth="1"/>
    <col min="11" max="11" width="23.54296875" style="1" hidden="1" customWidth="1"/>
    <col min="12" max="16384" width="8.7265625" style="1"/>
  </cols>
  <sheetData>
    <row r="1" spans="2:11" x14ac:dyDescent="0.35">
      <c r="B1" s="1"/>
    </row>
    <row r="8" spans="2:11" x14ac:dyDescent="0.35">
      <c r="D8" s="1" t="s">
        <v>93</v>
      </c>
      <c r="E8" s="1" t="s">
        <v>82</v>
      </c>
      <c r="F8" s="1" t="s">
        <v>86</v>
      </c>
      <c r="G8" s="1" t="s">
        <v>99</v>
      </c>
      <c r="H8" s="1" t="s">
        <v>100</v>
      </c>
      <c r="I8" s="1" t="s">
        <v>101</v>
      </c>
      <c r="J8" s="1" t="s">
        <v>102</v>
      </c>
      <c r="K8" s="1" t="s">
        <v>119</v>
      </c>
    </row>
    <row r="9" spans="2:11" x14ac:dyDescent="0.35">
      <c r="D9" s="11" t="str">
        <f>IFERROR(Products_data[[#This Row],[HSN CODE]],"")</f>
        <v>N1001</v>
      </c>
      <c r="E9" s="11" t="str">
        <f>IFERROR(Products_data[[#This Row],[PRODUCT NAME ]],"")</f>
        <v>Smart Watch</v>
      </c>
      <c r="F9" s="11">
        <f>IFERROR(Products_data[[#This Row],[COST]],"")</f>
        <v>980</v>
      </c>
      <c r="G9" s="1">
        <f>SUMIF(Table4[Product Name],Table6[[#This Row],[Product Name]],Table4[Units])</f>
        <v>50</v>
      </c>
      <c r="H9" s="1">
        <f>SUMIF(Table5[Product Name],Table6[[#This Row],[Product Name]],Table5[Units])</f>
        <v>10</v>
      </c>
      <c r="I9" s="1">
        <f>Table6[[#This Row],[P Units]]-Table6[[#This Row],[S Units]]</f>
        <v>40</v>
      </c>
      <c r="J9" s="1">
        <f>IFERROR(Table6[[#This Row],[Stock]]*Table6[[#This Row],[Cost]],"")</f>
        <v>39200</v>
      </c>
      <c r="K9" s="19" t="str">
        <f>IFERROR(IF(I9&lt;5,"📞"&amp;Table6[[#This Row],[Product Name]]&amp;" "&amp;"Need to Re-Order! PH " &amp; VLOOKUP(Table6[[#This Row],[HSN Code]],Table3[#All],4,0),""),"")</f>
        <v/>
      </c>
    </row>
    <row r="10" spans="2:11" x14ac:dyDescent="0.35">
      <c r="D10" s="11" t="str">
        <f>IFERROR(Products_data[[#This Row],[HSN CODE]],"")</f>
        <v>N1002</v>
      </c>
      <c r="E10" s="11" t="str">
        <f>IFERROR(Products_data[[#This Row],[PRODUCT NAME ]],"")</f>
        <v>Laptop HP xyz</v>
      </c>
      <c r="F10" s="11">
        <f>IFERROR(Products_data[[#This Row],[COST]],"")</f>
        <v>34500</v>
      </c>
      <c r="G10" s="1">
        <f>SUMIF(Table4[Product Name],Table6[[#This Row],[Product Name]],Table4[Units])</f>
        <v>0</v>
      </c>
      <c r="H10" s="1">
        <f>SUMIF(Table5[Product Name],Table6[[#This Row],[Product Name]],Table5[Units])</f>
        <v>0</v>
      </c>
      <c r="I10" s="1">
        <f>Table6[[#This Row],[P Units]]-Table6[[#This Row],[S Units]]</f>
        <v>0</v>
      </c>
      <c r="J10" s="1">
        <f>IFERROR(Table6[[#This Row],[Stock]]*Table6[[#This Row],[Cost]],"")</f>
        <v>0</v>
      </c>
      <c r="K10" s="19" t="str">
        <f>IFERROR(IF(I10&lt;5,"📞"&amp;Table6[[#This Row],[Product Name]]&amp;" "&amp;"Need to Re-Order! PH " &amp; VLOOKUP(Table6[[#This Row],[HSN Code]],Table3[#All],4,0),""),"")</f>
        <v>📞Laptop HP xyz Need to Re-Order! PH 9812XXXXXX</v>
      </c>
    </row>
    <row r="11" spans="2:11" x14ac:dyDescent="0.35">
      <c r="D11" s="11" t="str">
        <f>IFERROR(Products_data[[#This Row],[HSN CODE]],"")</f>
        <v>N1003</v>
      </c>
      <c r="E11" s="11" t="str">
        <f>IFERROR(Products_data[[#This Row],[PRODUCT NAME ]],"")</f>
        <v>Wireless Printer</v>
      </c>
      <c r="F11" s="11">
        <f>IFERROR(Products_data[[#This Row],[COST]],"")</f>
        <v>4600</v>
      </c>
      <c r="G11" s="1">
        <f>SUMIF(Table4[Product Name],Table6[[#This Row],[Product Name]],Table4[Units])</f>
        <v>12</v>
      </c>
      <c r="H11" s="1">
        <f>SUMIF(Table5[Product Name],Table6[[#This Row],[Product Name]],Table5[Units])</f>
        <v>9</v>
      </c>
      <c r="I11" s="1">
        <f>Table6[[#This Row],[P Units]]-Table6[[#This Row],[S Units]]</f>
        <v>3</v>
      </c>
      <c r="J11" s="1">
        <f>IFERROR(Table6[[#This Row],[Stock]]*Table6[[#This Row],[Cost]],"")</f>
        <v>13800</v>
      </c>
      <c r="K11" s="19" t="str">
        <f>IFERROR(IF(I11&lt;5,"📞"&amp;Table6[[#This Row],[Product Name]]&amp;" "&amp;"Need to Re-Order! PH " &amp; VLOOKUP(Table6[[#This Row],[HSN Code]],Table3[#All],4,0),""),"")</f>
        <v>📞Wireless Printer Need to Re-Order! PH 9812XXXXXX</v>
      </c>
    </row>
    <row r="12" spans="2:11" x14ac:dyDescent="0.35">
      <c r="D12" s="11" t="str">
        <f>IFERROR(Products_data[[#This Row],[HSN CODE]],"")</f>
        <v>N1004</v>
      </c>
      <c r="E12" s="11" t="str">
        <f>IFERROR(Products_data[[#This Row],[PRODUCT NAME ]],"")</f>
        <v xml:space="preserve">Desktop </v>
      </c>
      <c r="F12" s="11">
        <f>IFERROR(Products_data[[#This Row],[COST]],"")</f>
        <v>21000</v>
      </c>
      <c r="G12" s="1">
        <f>SUMIF(Table4[Product Name],Table6[[#This Row],[Product Name]],Table4[Units])</f>
        <v>60</v>
      </c>
      <c r="H12" s="1">
        <f>SUMIF(Table5[Product Name],Table6[[#This Row],[Product Name]],Table5[Units])</f>
        <v>6</v>
      </c>
      <c r="I12" s="1">
        <f>Table6[[#This Row],[P Units]]-Table6[[#This Row],[S Units]]</f>
        <v>54</v>
      </c>
      <c r="J12" s="1">
        <f>IFERROR(Table6[[#This Row],[Stock]]*Table6[[#This Row],[Cost]],"")</f>
        <v>1134000</v>
      </c>
      <c r="K12" s="19" t="str">
        <f>IFERROR(IF(I12&lt;5,"📞"&amp;Table6[[#This Row],[Product Name]]&amp;" "&amp;"Need to Re-Order! PH " &amp; VLOOKUP(Table6[[#This Row],[HSN Code]],Table3[#All],4,0),""),"")</f>
        <v/>
      </c>
    </row>
    <row r="13" spans="2:11" x14ac:dyDescent="0.35">
      <c r="D13" s="11" t="str">
        <f>IFERROR(Products_data[[#This Row],[HSN CODE]],"")</f>
        <v>N1005</v>
      </c>
      <c r="E13" s="11" t="str">
        <f>IFERROR(Products_data[[#This Row],[PRODUCT NAME ]],"")</f>
        <v>Mouse</v>
      </c>
      <c r="F13" s="11">
        <f>IFERROR(Products_data[[#This Row],[COST]],"")</f>
        <v>200</v>
      </c>
      <c r="G13" s="1">
        <f>SUMIF(Table4[Product Name],Table6[[#This Row],[Product Name]],Table4[Units])</f>
        <v>20</v>
      </c>
      <c r="H13" s="1">
        <f>SUMIF(Table5[Product Name],Table6[[#This Row],[Product Name]],Table5[Units])</f>
        <v>0</v>
      </c>
      <c r="I13" s="1">
        <f>Table6[[#This Row],[P Units]]-Table6[[#This Row],[S Units]]</f>
        <v>20</v>
      </c>
      <c r="J13" s="1">
        <f>IFERROR(Table6[[#This Row],[Stock]]*Table6[[#This Row],[Cost]],"")</f>
        <v>4000</v>
      </c>
      <c r="K13" s="19" t="str">
        <f>IFERROR(IF(I13&lt;5,"📞"&amp;Table6[[#This Row],[Product Name]]&amp;" "&amp;"Need to Re-Order! PH " &amp; VLOOKUP(Table6[[#This Row],[HSN Code]],Table3[#All],4,0),""),"")</f>
        <v/>
      </c>
    </row>
    <row r="14" spans="2:11" x14ac:dyDescent="0.35">
      <c r="D14" s="11" t="str">
        <f>IFERROR(Products_data[[#This Row],[HSN CODE]],"")</f>
        <v>N1006</v>
      </c>
      <c r="E14" s="11" t="str">
        <f>IFERROR(Products_data[[#This Row],[PRODUCT NAME ]],"")</f>
        <v>RGB Keyboard</v>
      </c>
      <c r="F14" s="11">
        <f>IFERROR(Products_data[[#This Row],[COST]],"")</f>
        <v>340</v>
      </c>
      <c r="G14" s="1">
        <f>SUMIF(Table4[Product Name],Table6[[#This Row],[Product Name]],Table4[Units])</f>
        <v>12</v>
      </c>
      <c r="H14" s="1">
        <f>SUMIF(Table5[Product Name],Table6[[#This Row],[Product Name]],Table5[Units])</f>
        <v>7</v>
      </c>
      <c r="I14" s="1">
        <f>Table6[[#This Row],[P Units]]-Table6[[#This Row],[S Units]]</f>
        <v>5</v>
      </c>
      <c r="J14" s="1">
        <f>IFERROR(Table6[[#This Row],[Stock]]*Table6[[#This Row],[Cost]],"")</f>
        <v>1700</v>
      </c>
      <c r="K14" s="19" t="str">
        <f>IFERROR(IF(I14&lt;5,"📞"&amp;Table6[[#This Row],[Product Name]]&amp;" "&amp;"Need to Re-Order! PH " &amp; VLOOKUP(Table6[[#This Row],[HSN Code]],Table3[#All],4,0),""),"")</f>
        <v/>
      </c>
    </row>
    <row r="15" spans="2:11" x14ac:dyDescent="0.35">
      <c r="D15" s="11" t="str">
        <f>IFERROR(Products_data[[#This Row],[HSN CODE]],"")</f>
        <v>N1007</v>
      </c>
      <c r="E15" s="11" t="str">
        <f>IFERROR(Products_data[[#This Row],[PRODUCT NAME ]],"")</f>
        <v>Camera</v>
      </c>
      <c r="F15" s="11">
        <f>IFERROR(Products_data[[#This Row],[COST]],"")</f>
        <v>52000</v>
      </c>
      <c r="G15" s="1">
        <f>SUMIF(Table4[Product Name],Table6[[#This Row],[Product Name]],Table4[Units])</f>
        <v>15</v>
      </c>
      <c r="H15" s="1">
        <f>SUMIF(Table5[Product Name],Table6[[#This Row],[Product Name]],Table5[Units])</f>
        <v>8</v>
      </c>
      <c r="I15" s="1">
        <f>Table6[[#This Row],[P Units]]-Table6[[#This Row],[S Units]]</f>
        <v>7</v>
      </c>
      <c r="J15" s="1">
        <f>IFERROR(Table6[[#This Row],[Stock]]*Table6[[#This Row],[Cost]],"")</f>
        <v>364000</v>
      </c>
      <c r="K15" s="19" t="str">
        <f>IFERROR(IF(I15&lt;5,"📞"&amp;Table6[[#This Row],[Product Name]]&amp;" "&amp;"Need to Re-Order! PH " &amp; VLOOKUP(Table6[[#This Row],[HSN Code]],Table3[#All],4,0),""),"")</f>
        <v/>
      </c>
    </row>
    <row r="16" spans="2:11" x14ac:dyDescent="0.35">
      <c r="D16" s="11" t="str">
        <f>IFERROR(Products_data[[#This Row],[HSN CODE]],"")</f>
        <v>N1008</v>
      </c>
      <c r="E16" s="11" t="str">
        <f>IFERROR(Products_data[[#This Row],[PRODUCT NAME ]],"")</f>
        <v>Headphone</v>
      </c>
      <c r="F16" s="11">
        <f>IFERROR(Products_data[[#This Row],[COST]],"")</f>
        <v>799</v>
      </c>
      <c r="G16" s="1">
        <f>SUMIF(Table4[Product Name],Table6[[#This Row],[Product Name]],Table4[Units])</f>
        <v>30</v>
      </c>
      <c r="H16" s="1">
        <f>SUMIF(Table5[Product Name],Table6[[#This Row],[Product Name]],Table5[Units])</f>
        <v>5</v>
      </c>
      <c r="I16" s="1">
        <f>Table6[[#This Row],[P Units]]-Table6[[#This Row],[S Units]]</f>
        <v>25</v>
      </c>
      <c r="J16" s="1">
        <f>IFERROR(Table6[[#This Row],[Stock]]*Table6[[#This Row],[Cost]],"")</f>
        <v>19975</v>
      </c>
      <c r="K16" s="19" t="str">
        <f>IFERROR(IF(I16&lt;5,"📞"&amp;Table6[[#This Row],[Product Name]]&amp;" "&amp;"Need to Re-Order! PH " &amp; VLOOKUP(Table6[[#This Row],[HSN Code]],Table3[#All],4,0),""),"")</f>
        <v/>
      </c>
    </row>
    <row r="17" spans="4:11" x14ac:dyDescent="0.35">
      <c r="D17" s="11" t="str">
        <f>IFERROR(Products_data[[#This Row],[HSN CODE]],"")</f>
        <v>N1009</v>
      </c>
      <c r="E17" s="11" t="str">
        <f>IFERROR(Products_data[[#This Row],[PRODUCT NAME ]],"")</f>
        <v>Speakers</v>
      </c>
      <c r="F17" s="11">
        <f>IFERROR(Products_data[[#This Row],[COST]],"")</f>
        <v>670</v>
      </c>
      <c r="G17" s="1">
        <f>SUMIF(Table4[Product Name],Table6[[#This Row],[Product Name]],Table4[Units])</f>
        <v>0</v>
      </c>
      <c r="H17" s="1">
        <f>SUMIF(Table5[Product Name],Table6[[#This Row],[Product Name]],Table5[Units])</f>
        <v>0</v>
      </c>
      <c r="I17" s="1">
        <f>Table6[[#This Row],[P Units]]-Table6[[#This Row],[S Units]]</f>
        <v>0</v>
      </c>
      <c r="J17" s="1">
        <f>IFERROR(Table6[[#This Row],[Stock]]*Table6[[#This Row],[Cost]],"")</f>
        <v>0</v>
      </c>
      <c r="K17" s="19" t="str">
        <f>IFERROR(IF(I17&lt;5,"📞"&amp;Table6[[#This Row],[Product Name]]&amp;" "&amp;"Need to Re-Order! PH " &amp; VLOOKUP(Table6[[#This Row],[HSN Code]],Table3[#All],4,0),""),"")</f>
        <v>📞Speakers Need to Re-Order! PH 9812XXXXXX</v>
      </c>
    </row>
    <row r="18" spans="4:11" x14ac:dyDescent="0.35">
      <c r="D18" s="11" t="str">
        <f>IFERROR(Products_data[[#This Row],[HSN CODE]],"")</f>
        <v>N1010</v>
      </c>
      <c r="E18" s="11" t="str">
        <f>IFERROR(Products_data[[#This Row],[PRODUCT NAME ]],"")</f>
        <v>Tablets</v>
      </c>
      <c r="F18" s="11">
        <f>IFERROR(Products_data[[#This Row],[COST]],"")</f>
        <v>23500</v>
      </c>
      <c r="G18" s="1">
        <f>SUMIF(Table4[Product Name],Table6[[#This Row],[Product Name]],Table4[Units])</f>
        <v>0</v>
      </c>
      <c r="H18" s="1">
        <f>SUMIF(Table5[Product Name],Table6[[#This Row],[Product Name]],Table5[Units])</f>
        <v>0</v>
      </c>
      <c r="I18" s="1">
        <f>Table6[[#This Row],[P Units]]-Table6[[#This Row],[S Units]]</f>
        <v>0</v>
      </c>
      <c r="J18" s="1">
        <f>IFERROR(Table6[[#This Row],[Stock]]*Table6[[#This Row],[Cost]],"")</f>
        <v>0</v>
      </c>
      <c r="K18" s="19" t="str">
        <f>IFERROR(IF(I18&lt;5,"📞"&amp;Table6[[#This Row],[Product Name]]&amp;" "&amp;"Need to Re-Order! PH " &amp; VLOOKUP(Table6[[#This Row],[HSN Code]],Table3[#All],4,0),""),"")</f>
        <v>📞Tablets Need to Re-Order! PH 9812XXXXXX</v>
      </c>
    </row>
    <row r="19" spans="4:11" x14ac:dyDescent="0.35">
      <c r="D19" s="11" t="str">
        <f>IFERROR(Products_data[[#This Row],[HSN CODE]],"")</f>
        <v>N1011</v>
      </c>
      <c r="E19" s="11" t="str">
        <f>IFERROR(Products_data[[#This Row],[PRODUCT NAME ]],"")</f>
        <v>A C</v>
      </c>
      <c r="F19" s="11">
        <f>IFERROR(Products_data[[#This Row],[COST]],"")</f>
        <v>40000</v>
      </c>
      <c r="G19" s="1">
        <f>SUMIF(Table4[Product Name],Table6[[#This Row],[Product Name]],Table4[Units])</f>
        <v>10</v>
      </c>
      <c r="H19" s="1">
        <f>SUMIF(Table5[Product Name],Table6[[#This Row],[Product Name]],Table5[Units])</f>
        <v>2</v>
      </c>
      <c r="I19" s="1">
        <f>Table6[[#This Row],[P Units]]-Table6[[#This Row],[S Units]]</f>
        <v>8</v>
      </c>
      <c r="J19" s="1">
        <f>IFERROR(Table6[[#This Row],[Stock]]*Table6[[#This Row],[Cost]],"")</f>
        <v>320000</v>
      </c>
      <c r="K19" s="19" t="str">
        <f>IFERROR(IF(I19&lt;5,"📞"&amp;Table6[[#This Row],[Product Name]]&amp;" "&amp;"Need to Re-Order! PH " &amp; VLOOKUP(Table6[[#This Row],[HSN Code]],Table3[#All],4,0),""),"")</f>
        <v/>
      </c>
    </row>
    <row r="20" spans="4:11" x14ac:dyDescent="0.35">
      <c r="D20" s="11" t="str">
        <f>IFERROR(Products_data[[#This Row],[HSN CODE]],"")</f>
        <v>N1012</v>
      </c>
      <c r="E20" s="11" t="str">
        <f>IFERROR(Products_data[[#This Row],[PRODUCT NAME ]],"")</f>
        <v xml:space="preserve">Fridge </v>
      </c>
      <c r="F20" s="11">
        <f>IFERROR(Products_data[[#This Row],[COST]],"")</f>
        <v>25000</v>
      </c>
      <c r="G20" s="1">
        <f>SUMIF(Table4[Product Name],Table6[[#This Row],[Product Name]],Table4[Units])</f>
        <v>40</v>
      </c>
      <c r="H20" s="1">
        <f>SUMIF(Table5[Product Name],Table6[[#This Row],[Product Name]],Table5[Units])</f>
        <v>8</v>
      </c>
      <c r="I20" s="1">
        <f>Table6[[#This Row],[P Units]]-Table6[[#This Row],[S Units]]</f>
        <v>32</v>
      </c>
      <c r="J20" s="1">
        <f>IFERROR(Table6[[#This Row],[Stock]]*Table6[[#This Row],[Cost]],"")</f>
        <v>800000</v>
      </c>
      <c r="K20" s="19" t="str">
        <f>IFERROR(IF(I20&lt;5,"📞"&amp;Table6[[#This Row],[Product Name]]&amp;" "&amp;"Need to Re-Order! PH " &amp; VLOOKUP(Table6[[#This Row],[HSN Code]],Table3[#All],4,0),""),"")</f>
        <v/>
      </c>
    </row>
    <row r="21" spans="4:11" x14ac:dyDescent="0.35">
      <c r="D21" s="11" t="str">
        <f>IFERROR(Products_data[[#This Row],[HSN CODE]],"")</f>
        <v>N1013</v>
      </c>
      <c r="E21" s="11" t="str">
        <f>IFERROR(Products_data[[#This Row],[PRODUCT NAME ]],"")</f>
        <v>T V</v>
      </c>
      <c r="F21" s="11">
        <f>IFERROR(Products_data[[#This Row],[COST]],"")</f>
        <v>15000</v>
      </c>
      <c r="G21" s="1">
        <f>SUMIF(Table4[Product Name],Table6[[#This Row],[Product Name]],Table4[Units])</f>
        <v>5</v>
      </c>
      <c r="H21" s="1">
        <f>SUMIF(Table5[Product Name],Table6[[#This Row],[Product Name]],Table5[Units])</f>
        <v>0</v>
      </c>
      <c r="I21" s="1">
        <f>Table6[[#This Row],[P Units]]-Table6[[#This Row],[S Units]]</f>
        <v>5</v>
      </c>
      <c r="J21" s="1">
        <f>IFERROR(Table6[[#This Row],[Stock]]*Table6[[#This Row],[Cost]],"")</f>
        <v>75000</v>
      </c>
      <c r="K21" s="19" t="str">
        <f>IFERROR(IF(I21&lt;5,"📞"&amp;Table6[[#This Row],[Product Name]]&amp;" "&amp;"Need to Re-Order! PH " &amp; VLOOKUP(Table6[[#This Row],[HSN Code]],Table3[#All],4,0),""),"")</f>
        <v/>
      </c>
    </row>
    <row r="22" spans="4:11" x14ac:dyDescent="0.35">
      <c r="D22" s="11" t="str">
        <f>IFERROR(Products_data[[#This Row],[HSN CODE]],"")</f>
        <v>N1014</v>
      </c>
      <c r="E22" s="11" t="str">
        <f>IFERROR(Products_data[[#This Row],[PRODUCT NAME ]],"")</f>
        <v xml:space="preserve">CCTV </v>
      </c>
      <c r="F22" s="11">
        <f>IFERROR(Products_data[[#This Row],[COST]],"")</f>
        <v>5000</v>
      </c>
      <c r="G22" s="1">
        <f>SUMIF(Table4[Product Name],Table6[[#This Row],[Product Name]],Table4[Units])</f>
        <v>0</v>
      </c>
      <c r="H22" s="1">
        <f>SUMIF(Table5[Product Name],Table6[[#This Row],[Product Name]],Table5[Units])</f>
        <v>0</v>
      </c>
      <c r="I22" s="1">
        <f>Table6[[#This Row],[P Units]]-Table6[[#This Row],[S Units]]</f>
        <v>0</v>
      </c>
      <c r="J22" s="1">
        <f>IFERROR(Table6[[#This Row],[Stock]]*Table6[[#This Row],[Cost]],"")</f>
        <v>0</v>
      </c>
      <c r="K22" s="19" t="str">
        <f>IFERROR(IF(I22&lt;5,"📞"&amp;Table6[[#This Row],[Product Name]]&amp;" "&amp;"Need to Re-Order! PH " &amp; VLOOKUP(Table6[[#This Row],[HSN Code]],Table3[#All],4,0),""),"")</f>
        <v>📞CCTV  Need to Re-Order! PH 6355478832</v>
      </c>
    </row>
    <row r="23" spans="4:11" x14ac:dyDescent="0.35">
      <c r="D23" s="11" t="str">
        <f>IFERROR(Products_data[[#This Row],[HSN CODE]],"")</f>
        <v>N1015</v>
      </c>
      <c r="E23" s="11" t="str">
        <f>IFERROR(Products_data[[#This Row],[PRODUCT NAME ]],"")</f>
        <v>Bike</v>
      </c>
      <c r="F23" s="11">
        <f>IFERROR(Products_data[[#This Row],[COST]],"")</f>
        <v>78000</v>
      </c>
      <c r="G23" s="1">
        <f>SUMIF(Table4[Product Name],Table6[[#This Row],[Product Name]],Table4[Units])</f>
        <v>50</v>
      </c>
      <c r="H23" s="1">
        <f>SUMIF(Table5[Product Name],Table6[[#This Row],[Product Name]],Table5[Units])</f>
        <v>20</v>
      </c>
      <c r="I23" s="1">
        <f>Table6[[#This Row],[P Units]]-Table6[[#This Row],[S Units]]</f>
        <v>30</v>
      </c>
      <c r="J23" s="1">
        <f>IFERROR(Table6[[#This Row],[Stock]]*Table6[[#This Row],[Cost]],"")</f>
        <v>2340000</v>
      </c>
      <c r="K23" s="19" t="str">
        <f>IFERROR(IF(I23&lt;5,"📞"&amp;Table6[[#This Row],[Product Name]]&amp;" "&amp;"Need to Re-Order! PH " &amp; VLOOKUP(Table6[[#This Row],[HSN Code]],Table3[#All],4,0),""),"")</f>
        <v/>
      </c>
    </row>
    <row r="24" spans="4:11" x14ac:dyDescent="0.35">
      <c r="D24" s="11" t="str">
        <f>IFERROR(Products_data[[#This Row],[HSN CODE]],"")</f>
        <v>N1016</v>
      </c>
      <c r="E24" s="11" t="str">
        <f>IFERROR(Products_data[[#This Row],[PRODUCT NAME ]],"")</f>
        <v>CYCLE</v>
      </c>
      <c r="F24" s="11">
        <f>IFERROR(Products_data[[#This Row],[COST]],"")</f>
        <v>5656</v>
      </c>
      <c r="G24" s="1">
        <f>SUMIF(Table4[Product Name],Table6[[#This Row],[Product Name]],Table4[Units])</f>
        <v>4</v>
      </c>
      <c r="H24" s="1">
        <f>SUMIF(Table5[Product Name],Table6[[#This Row],[Product Name]],Table5[Units])</f>
        <v>0</v>
      </c>
      <c r="I24" s="1">
        <f>Table6[[#This Row],[P Units]]-Table6[[#This Row],[S Units]]</f>
        <v>4</v>
      </c>
      <c r="J24" s="1">
        <f>IFERROR(Table6[[#This Row],[Stock]]*Table6[[#This Row],[Cost]],"")</f>
        <v>22624</v>
      </c>
      <c r="K24" s="19" t="str">
        <f>IFERROR(IF(I24&lt;5,"📞"&amp;Table6[[#This Row],[Product Name]]&amp;" "&amp;"Need to Re-Order! PH " &amp; VLOOKUP(Table6[[#This Row],[HSN Code]],Table3[#All],4,0),""),"")</f>
        <v>📞CYCLE Need to Re-Order! PH 9898254831</v>
      </c>
    </row>
    <row r="25" spans="4:11" x14ac:dyDescent="0.35">
      <c r="D25" s="11"/>
      <c r="E25" s="11"/>
      <c r="F25" s="11"/>
      <c r="K25" s="19" t="str">
        <f>IFERROR(IF(I25&lt;5,"📞"&amp;Table6[[#This Row],[Product Name]]&amp;" "&amp;"Need to Re-Order! PH " &amp; VLOOKUP(Table6[[#This Row],[HSN Code]],Table3[#All],4,0),""),"")</f>
        <v/>
      </c>
    </row>
    <row r="26" spans="4:11" x14ac:dyDescent="0.35">
      <c r="D26" s="11" t="str">
        <f>IFERROR(Products_data[[#This Row],[HSN CODE]],"")</f>
        <v/>
      </c>
      <c r="E26" s="11" t="str">
        <f>IFERROR(Products_data[[#This Row],[PRODUCT NAME ]],"")</f>
        <v/>
      </c>
      <c r="F26" s="11" t="str">
        <f>IFERROR(Products_data[[#This Row],[COST]],"")</f>
        <v/>
      </c>
      <c r="K26" s="19" t="str">
        <f>IFERROR(IF(I26&lt;5,"📞"&amp;Table6[[#This Row],[Product Name]]&amp;" "&amp;"Need to Re-Order! PH " &amp; VLOOKUP(Table6[[#This Row],[HSN Code]],Table3[#All],4,0),""),"")</f>
        <v/>
      </c>
    </row>
    <row r="27" spans="4:11" x14ac:dyDescent="0.35">
      <c r="D27" s="11" t="str">
        <f>IFERROR(Products_data[[#This Row],[HSN CODE]],"")</f>
        <v/>
      </c>
      <c r="E27" s="11" t="str">
        <f>IFERROR(Products_data[[#This Row],[PRODUCT NAME ]],"")</f>
        <v/>
      </c>
      <c r="F27" s="11" t="str">
        <f>IFERROR(Products_data[[#This Row],[COST]],"")</f>
        <v/>
      </c>
      <c r="K27" s="19" t="str">
        <f>IFERROR(IF(I27&lt;5,"📞"&amp;Table6[[#This Row],[Product Name]]&amp;" "&amp;"Need to Re-Order! PH " &amp; VLOOKUP(Table6[[#This Row],[HSN Code]],Table3[#All],4,0),""),"")</f>
        <v/>
      </c>
    </row>
    <row r="28" spans="4:11" x14ac:dyDescent="0.35">
      <c r="D28" s="11" t="str">
        <f>IFERROR(Products_data[[#This Row],[HSN CODE]],"")</f>
        <v/>
      </c>
      <c r="E28" s="11" t="str">
        <f>IFERROR(Products_data[[#This Row],[PRODUCT NAME ]],"")</f>
        <v/>
      </c>
      <c r="F28" s="11" t="str">
        <f>IFERROR(Products_data[[#This Row],[COST]],"")</f>
        <v/>
      </c>
      <c r="K28" s="19" t="str">
        <f>IFERROR(IF(I28&lt;5,"📞"&amp;Table6[[#This Row],[Product Name]]&amp;" "&amp;"Need to Re-Order! PH " &amp; VLOOKUP(Table6[[#This Row],[HSN Code]],Table3[#All],4,0),""),"")</f>
        <v/>
      </c>
    </row>
    <row r="29" spans="4:11" x14ac:dyDescent="0.35">
      <c r="D29" s="11" t="str">
        <f>IFERROR(Products_data[[#This Row],[HSN CODE]],"")</f>
        <v/>
      </c>
      <c r="E29" s="11" t="str">
        <f>IFERROR(Products_data[[#This Row],[PRODUCT NAME ]],"")</f>
        <v/>
      </c>
      <c r="F29" s="11" t="str">
        <f>IFERROR(Products_data[[#This Row],[COST]],"")</f>
        <v/>
      </c>
      <c r="K29" s="19" t="str">
        <f>IFERROR(IF(I29&lt;5,"📞"&amp;Table6[[#This Row],[Product Name]]&amp;" "&amp;"Need to Re-Order! PH " &amp; VLOOKUP(Table6[[#This Row],[HSN Code]],Table3[#All],4,0),""),"")</f>
        <v/>
      </c>
    </row>
    <row r="30" spans="4:11" x14ac:dyDescent="0.35">
      <c r="D30" s="11" t="str">
        <f>IFERROR(Products_data[[#This Row],[HSN CODE]],"")</f>
        <v/>
      </c>
      <c r="E30" s="11" t="str">
        <f>IFERROR(Products_data[[#This Row],[PRODUCT NAME ]],"")</f>
        <v/>
      </c>
      <c r="F30" s="11" t="str">
        <f>IFERROR(Products_data[[#This Row],[COST]],"")</f>
        <v/>
      </c>
      <c r="K30" s="19" t="str">
        <f>IFERROR(IF(I30&lt;5,"📞"&amp;Table6[[#This Row],[Product Name]]&amp;" "&amp;"Need to Re-Order! PH " &amp; VLOOKUP(Table6[[#This Row],[HSN Code]],Table3[#All],4,0),""),"")</f>
        <v/>
      </c>
    </row>
  </sheetData>
  <phoneticPr fontId="6" type="noConversion"/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AFC8A-1B97-43D4-9F78-1C5CF0D621B4}">
  <dimension ref="A2:J19"/>
  <sheetViews>
    <sheetView workbookViewId="0">
      <selection activeCell="I6" sqref="I2:J19"/>
    </sheetView>
  </sheetViews>
  <sheetFormatPr defaultRowHeight="14.5" x14ac:dyDescent="0.35"/>
  <cols>
    <col min="1" max="1" width="19.08984375" bestFit="1" customWidth="1"/>
    <col min="3" max="3" width="21.90625" bestFit="1" customWidth="1"/>
    <col min="6" max="6" width="12.36328125" bestFit="1" customWidth="1"/>
    <col min="7" max="7" width="14" bestFit="1" customWidth="1"/>
    <col min="9" max="9" width="14.08984375" bestFit="1" customWidth="1"/>
    <col min="10" max="10" width="11.6328125" bestFit="1" customWidth="1"/>
  </cols>
  <sheetData>
    <row r="2" spans="1:10" x14ac:dyDescent="0.35">
      <c r="A2" t="s">
        <v>106</v>
      </c>
      <c r="C2" t="s">
        <v>107</v>
      </c>
      <c r="F2" s="13" t="s">
        <v>104</v>
      </c>
      <c r="G2" t="s">
        <v>117</v>
      </c>
      <c r="I2" s="13" t="s">
        <v>104</v>
      </c>
      <c r="J2" t="s">
        <v>120</v>
      </c>
    </row>
    <row r="3" spans="1:10" x14ac:dyDescent="0.35">
      <c r="A3" s="15">
        <v>8</v>
      </c>
      <c r="C3">
        <f>GETPIVOTDATA("NAME",$A$2)</f>
        <v>8</v>
      </c>
      <c r="F3" s="14" t="s">
        <v>103</v>
      </c>
      <c r="G3" s="15">
        <v>20</v>
      </c>
      <c r="I3" s="14" t="s">
        <v>53</v>
      </c>
      <c r="J3" s="15">
        <v>8</v>
      </c>
    </row>
    <row r="4" spans="1:10" x14ac:dyDescent="0.35">
      <c r="F4" s="14" t="s">
        <v>43</v>
      </c>
      <c r="G4" s="15">
        <v>10</v>
      </c>
      <c r="I4" s="14" t="s">
        <v>103</v>
      </c>
      <c r="J4" s="15">
        <v>30</v>
      </c>
    </row>
    <row r="5" spans="1:10" x14ac:dyDescent="0.35">
      <c r="A5" t="s">
        <v>108</v>
      </c>
      <c r="C5" t="s">
        <v>109</v>
      </c>
      <c r="F5" s="14" t="s">
        <v>45</v>
      </c>
      <c r="G5" s="15">
        <v>9</v>
      </c>
      <c r="I5" s="14" t="s">
        <v>49</v>
      </c>
      <c r="J5" s="15">
        <v>7</v>
      </c>
    </row>
    <row r="6" spans="1:10" x14ac:dyDescent="0.35">
      <c r="A6" s="15">
        <v>16</v>
      </c>
      <c r="C6">
        <f>GETPIVOTDATA("PRODUCT NAME ",$A$5)</f>
        <v>16</v>
      </c>
      <c r="F6" s="14" t="s">
        <v>49</v>
      </c>
      <c r="G6" s="15">
        <v>8</v>
      </c>
      <c r="I6" s="14" t="s">
        <v>56</v>
      </c>
      <c r="J6" s="15">
        <v>0</v>
      </c>
    </row>
    <row r="7" spans="1:10" x14ac:dyDescent="0.35">
      <c r="F7" s="14" t="s">
        <v>54</v>
      </c>
      <c r="G7" s="15">
        <v>8</v>
      </c>
      <c r="I7" s="14" t="s">
        <v>90</v>
      </c>
      <c r="J7" s="15">
        <v>4</v>
      </c>
    </row>
    <row r="8" spans="1:10" x14ac:dyDescent="0.35">
      <c r="A8" t="s">
        <v>110</v>
      </c>
      <c r="C8" t="s">
        <v>111</v>
      </c>
      <c r="F8" s="14" t="s">
        <v>105</v>
      </c>
      <c r="G8" s="15">
        <v>55</v>
      </c>
      <c r="I8" s="14" t="s">
        <v>46</v>
      </c>
      <c r="J8" s="15">
        <v>54</v>
      </c>
    </row>
    <row r="9" spans="1:10" x14ac:dyDescent="0.35">
      <c r="A9" s="15">
        <v>7573874</v>
      </c>
      <c r="C9" s="16">
        <f>GETPIVOTDATA("Amount",$A$8)</f>
        <v>7573874</v>
      </c>
      <c r="I9" s="14" t="s">
        <v>54</v>
      </c>
      <c r="J9" s="15">
        <v>32</v>
      </c>
    </row>
    <row r="10" spans="1:10" x14ac:dyDescent="0.35">
      <c r="F10" s="13" t="s">
        <v>104</v>
      </c>
      <c r="G10" t="s">
        <v>110</v>
      </c>
      <c r="I10" s="14" t="s">
        <v>50</v>
      </c>
      <c r="J10" s="15">
        <v>25</v>
      </c>
    </row>
    <row r="11" spans="1:10" x14ac:dyDescent="0.35">
      <c r="A11" t="s">
        <v>110</v>
      </c>
      <c r="C11" t="s">
        <v>112</v>
      </c>
      <c r="F11" s="14" t="s">
        <v>6</v>
      </c>
      <c r="G11" s="15">
        <v>2079994</v>
      </c>
      <c r="I11" s="14" t="s">
        <v>44</v>
      </c>
      <c r="J11" s="15">
        <v>0</v>
      </c>
    </row>
    <row r="12" spans="1:10" x14ac:dyDescent="0.35">
      <c r="A12" s="15">
        <v>2627490</v>
      </c>
      <c r="C12" s="16">
        <f>GETPIVOTDATA("Amount",$A$11)</f>
        <v>2627490</v>
      </c>
      <c r="F12" s="14" t="s">
        <v>4</v>
      </c>
      <c r="G12" s="15">
        <v>251600</v>
      </c>
      <c r="I12" s="14" t="s">
        <v>47</v>
      </c>
      <c r="J12" s="15">
        <v>20</v>
      </c>
    </row>
    <row r="13" spans="1:10" x14ac:dyDescent="0.35">
      <c r="F13" s="14" t="s">
        <v>10</v>
      </c>
      <c r="G13" s="15">
        <v>124800</v>
      </c>
      <c r="I13" s="14" t="s">
        <v>48</v>
      </c>
      <c r="J13" s="15">
        <v>5</v>
      </c>
    </row>
    <row r="14" spans="1:10" x14ac:dyDescent="0.35">
      <c r="A14" t="s">
        <v>113</v>
      </c>
      <c r="C14" t="s">
        <v>114</v>
      </c>
      <c r="F14" s="14" t="s">
        <v>9</v>
      </c>
      <c r="G14" s="15">
        <v>84408</v>
      </c>
      <c r="I14" s="14" t="s">
        <v>43</v>
      </c>
      <c r="J14" s="15">
        <v>40</v>
      </c>
    </row>
    <row r="15" spans="1:10" x14ac:dyDescent="0.35">
      <c r="A15" s="15">
        <v>5134299</v>
      </c>
      <c r="C15" s="16">
        <f>GETPIVOTDATA("Stock Amount",$A$14)</f>
        <v>5134299</v>
      </c>
      <c r="F15" s="14" t="s">
        <v>8</v>
      </c>
      <c r="G15" s="15">
        <v>50400</v>
      </c>
      <c r="I15" s="14" t="s">
        <v>51</v>
      </c>
      <c r="J15" s="15">
        <v>0</v>
      </c>
    </row>
    <row r="16" spans="1:10" x14ac:dyDescent="0.35">
      <c r="F16" s="14" t="s">
        <v>105</v>
      </c>
      <c r="G16" s="15">
        <v>2591202</v>
      </c>
      <c r="I16" s="14" t="s">
        <v>55</v>
      </c>
      <c r="J16" s="15">
        <v>5</v>
      </c>
    </row>
    <row r="17" spans="2:10" x14ac:dyDescent="0.35">
      <c r="C17" t="s">
        <v>115</v>
      </c>
      <c r="I17" s="14" t="s">
        <v>52</v>
      </c>
      <c r="J17" s="15">
        <v>0</v>
      </c>
    </row>
    <row r="18" spans="2:10" x14ac:dyDescent="0.35">
      <c r="C18">
        <f>C15+C12</f>
        <v>7761789</v>
      </c>
      <c r="I18" s="14" t="s">
        <v>45</v>
      </c>
      <c r="J18" s="15">
        <v>3</v>
      </c>
    </row>
    <row r="19" spans="2:10" x14ac:dyDescent="0.35">
      <c r="B19" t="s">
        <v>116</v>
      </c>
      <c r="C19" s="16">
        <f>C18-C9</f>
        <v>187915</v>
      </c>
      <c r="I19" s="14" t="s">
        <v>105</v>
      </c>
      <c r="J19" s="15">
        <v>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4</vt:i4>
      </vt:variant>
    </vt:vector>
  </HeadingPairs>
  <TitlesOfParts>
    <vt:vector size="13" baseType="lpstr">
      <vt:lpstr>Dashboard</vt:lpstr>
      <vt:lpstr>Customer</vt:lpstr>
      <vt:lpstr>Products</vt:lpstr>
      <vt:lpstr>Vendors</vt:lpstr>
      <vt:lpstr>New Entry</vt:lpstr>
      <vt:lpstr>Purchase</vt:lpstr>
      <vt:lpstr>Sales</vt:lpstr>
      <vt:lpstr>Inventory</vt:lpstr>
      <vt:lpstr>Pivotes</vt:lpstr>
      <vt:lpstr>CUSTOMERID</vt:lpstr>
      <vt:lpstr>customers_data</vt:lpstr>
      <vt:lpstr>HSNCODE</vt:lpstr>
      <vt:lpstr>hsncode1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Pathak</dc:creator>
  <cp:lastModifiedBy>sandeep Pathak</cp:lastModifiedBy>
  <dcterms:created xsi:type="dcterms:W3CDTF">2026-07-15T10:35:59Z</dcterms:created>
  <dcterms:modified xsi:type="dcterms:W3CDTF">2026-07-16T05:44:33Z</dcterms:modified>
</cp:coreProperties>
</file>